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4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D:\Altro\Excel_Vari\"/>
    </mc:Choice>
  </mc:AlternateContent>
  <xr:revisionPtr revIDLastSave="0" documentId="13_ncr:1_{17AC3476-6651-4D24-9812-1EE4C9485818}" xr6:coauthVersionLast="45" xr6:coauthVersionMax="45" xr10:uidLastSave="{00000000-0000-0000-0000-000000000000}"/>
  <bookViews>
    <workbookView xWindow="-110" yWindow="-110" windowWidth="19420" windowHeight="10420" tabRatio="805" firstSheet="8" activeTab="12" xr2:uid="{00000000-000D-0000-FFFF-FFFF00000000}"/>
  </bookViews>
  <sheets>
    <sheet name="Gennaio 2021" sheetId="30" r:id="rId1"/>
    <sheet name="Febbraio 2021" sheetId="32" r:id="rId2"/>
    <sheet name="Marzo 2021" sheetId="33" r:id="rId3"/>
    <sheet name="Aprile 2021" sheetId="34" r:id="rId4"/>
    <sheet name="Maggio 2021" sheetId="35" r:id="rId5"/>
    <sheet name="Giugno 2021" sheetId="36" r:id="rId6"/>
    <sheet name="Luglio 2021" sheetId="37" r:id="rId7"/>
    <sheet name="Agosto 2021" sheetId="38" r:id="rId8"/>
    <sheet name="Settembre 2021" sheetId="39" r:id="rId9"/>
    <sheet name="Ottobre 2021" sheetId="40" r:id="rId10"/>
    <sheet name="Novembre 2021" sheetId="41" r:id="rId11"/>
    <sheet name="Dicembre 2021" sheetId="42" r:id="rId12"/>
    <sheet name="Risparmio totale" sheetId="17" r:id="rId13"/>
    <sheet name="Bollette" sheetId="31" r:id="rId1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27" i="42" l="1"/>
  <c r="AA26" i="42"/>
  <c r="AA25" i="42"/>
  <c r="AA24" i="42"/>
  <c r="AA23" i="42"/>
  <c r="AA22" i="42"/>
  <c r="AA27" i="41"/>
  <c r="AA26" i="41"/>
  <c r="AA25" i="41"/>
  <c r="AA27" i="40"/>
  <c r="AA26" i="40"/>
  <c r="AA25" i="40"/>
  <c r="AA24" i="40"/>
  <c r="AA23" i="40"/>
  <c r="AA22" i="40"/>
  <c r="AA27" i="39"/>
  <c r="AA26" i="39"/>
  <c r="AA27" i="38"/>
  <c r="AA26" i="38"/>
  <c r="AA25" i="38"/>
  <c r="AA24" i="38"/>
  <c r="AA23" i="38"/>
  <c r="AA22" i="38"/>
  <c r="AA27" i="37"/>
  <c r="AA26" i="37"/>
  <c r="AA25" i="37"/>
  <c r="AA24" i="37"/>
  <c r="AA23" i="37"/>
  <c r="AA22" i="37"/>
  <c r="AA27" i="36"/>
  <c r="AA26" i="36"/>
  <c r="AA22" i="36"/>
  <c r="AA27" i="35"/>
  <c r="AA26" i="35"/>
  <c r="AA25" i="35"/>
  <c r="AA24" i="35"/>
  <c r="AA23" i="35"/>
  <c r="AA22" i="35"/>
  <c r="AA27" i="34"/>
  <c r="AA26" i="34"/>
  <c r="AA25" i="34"/>
  <c r="AA24" i="34"/>
  <c r="AA23" i="34"/>
  <c r="AA22" i="34"/>
  <c r="AA27" i="33"/>
  <c r="AA26" i="33"/>
  <c r="AA25" i="33"/>
  <c r="AA24" i="33"/>
  <c r="AA23" i="33"/>
  <c r="AA22" i="33"/>
  <c r="AA27" i="32"/>
  <c r="AA26" i="32"/>
  <c r="AA25" i="32"/>
  <c r="AA24" i="32"/>
  <c r="AA23" i="32"/>
  <c r="AA22" i="32"/>
  <c r="AA27" i="30"/>
  <c r="AA26" i="30"/>
  <c r="M3" i="17"/>
  <c r="K3" i="17"/>
  <c r="M5" i="17"/>
  <c r="K5" i="17"/>
  <c r="D13" i="31"/>
  <c r="D12" i="31"/>
  <c r="D11" i="31"/>
  <c r="D10" i="31"/>
  <c r="D9" i="31"/>
  <c r="D8" i="31"/>
  <c r="D7" i="31"/>
  <c r="E13" i="31"/>
  <c r="E12" i="31"/>
  <c r="E11" i="31"/>
  <c r="E10" i="31"/>
  <c r="E9" i="31"/>
  <c r="E8" i="31"/>
  <c r="E7" i="31"/>
  <c r="E6" i="31"/>
  <c r="D6" i="31"/>
  <c r="E5" i="31"/>
  <c r="D5" i="31"/>
  <c r="C13" i="31"/>
  <c r="C12" i="31"/>
  <c r="C11" i="31"/>
  <c r="C10" i="31"/>
  <c r="C9" i="31"/>
  <c r="C8" i="31"/>
  <c r="C7" i="31"/>
  <c r="C6" i="31"/>
  <c r="C5" i="31"/>
  <c r="B13" i="31"/>
  <c r="B12" i="31"/>
  <c r="B11" i="31"/>
  <c r="B10" i="31"/>
  <c r="B9" i="31"/>
  <c r="B8" i="31"/>
  <c r="B7" i="31"/>
  <c r="B6" i="31"/>
  <c r="B5" i="31"/>
  <c r="B4" i="31"/>
  <c r="P57" i="42"/>
  <c r="Q56" i="42"/>
  <c r="P56" i="42"/>
  <c r="O56" i="42"/>
  <c r="N56" i="42"/>
  <c r="M56" i="42"/>
  <c r="L56" i="42"/>
  <c r="K56" i="42"/>
  <c r="J56" i="42"/>
  <c r="J57" i="42" s="1"/>
  <c r="I56" i="42"/>
  <c r="H56" i="42"/>
  <c r="H57" i="42" s="1"/>
  <c r="G56" i="42"/>
  <c r="F56" i="42"/>
  <c r="E56" i="42"/>
  <c r="D56" i="42"/>
  <c r="D57" i="42" s="1"/>
  <c r="R57" i="42" s="1"/>
  <c r="R55" i="42"/>
  <c r="R54" i="42"/>
  <c r="R53" i="42"/>
  <c r="R52" i="42"/>
  <c r="R51" i="42"/>
  <c r="R50" i="42"/>
  <c r="R49" i="42"/>
  <c r="Q47" i="42"/>
  <c r="P47" i="42"/>
  <c r="P48" i="42" s="1"/>
  <c r="O47" i="42"/>
  <c r="N47" i="42"/>
  <c r="M47" i="42"/>
  <c r="L47" i="42"/>
  <c r="J48" i="42" s="1"/>
  <c r="K47" i="42"/>
  <c r="J47" i="42"/>
  <c r="I47" i="42"/>
  <c r="H47" i="42"/>
  <c r="H48" i="42" s="1"/>
  <c r="G47" i="42"/>
  <c r="F47" i="42"/>
  <c r="E47" i="42"/>
  <c r="D47" i="42"/>
  <c r="D48" i="42" s="1"/>
  <c r="R48" i="42" s="1"/>
  <c r="R46" i="42"/>
  <c r="R45" i="42"/>
  <c r="R44" i="42"/>
  <c r="R43" i="42"/>
  <c r="R42" i="42"/>
  <c r="R41" i="42"/>
  <c r="R40" i="42"/>
  <c r="H39" i="42"/>
  <c r="Q38" i="42"/>
  <c r="P38" i="42"/>
  <c r="P39" i="42" s="1"/>
  <c r="O38" i="42"/>
  <c r="N38" i="42"/>
  <c r="M38" i="42"/>
  <c r="L38" i="42"/>
  <c r="K38" i="42"/>
  <c r="J38" i="42"/>
  <c r="J39" i="42" s="1"/>
  <c r="I38" i="42"/>
  <c r="H38" i="42"/>
  <c r="G38" i="42"/>
  <c r="F38" i="42"/>
  <c r="E38" i="42"/>
  <c r="D38" i="42"/>
  <c r="D39" i="42" s="1"/>
  <c r="R37" i="42"/>
  <c r="R36" i="42"/>
  <c r="R35" i="42"/>
  <c r="R34" i="42"/>
  <c r="R33" i="42"/>
  <c r="R32" i="42"/>
  <c r="R31" i="42"/>
  <c r="Q29" i="42"/>
  <c r="P29" i="42"/>
  <c r="P30" i="42" s="1"/>
  <c r="O29" i="42"/>
  <c r="N29" i="42"/>
  <c r="M29" i="42"/>
  <c r="L29" i="42"/>
  <c r="K29" i="42"/>
  <c r="J29" i="42"/>
  <c r="J30" i="42" s="1"/>
  <c r="I29" i="42"/>
  <c r="H29" i="42"/>
  <c r="H30" i="42" s="1"/>
  <c r="G29" i="42"/>
  <c r="F29" i="42"/>
  <c r="D30" i="42" s="1"/>
  <c r="E29" i="42"/>
  <c r="D29" i="42"/>
  <c r="R28" i="42"/>
  <c r="R27" i="42"/>
  <c r="R26" i="42"/>
  <c r="R25" i="42"/>
  <c r="R24" i="42"/>
  <c r="V23" i="42"/>
  <c r="S3" i="42" s="1"/>
  <c r="R23" i="42"/>
  <c r="R22" i="42"/>
  <c r="H21" i="42"/>
  <c r="Q20" i="42"/>
  <c r="P21" i="42" s="1"/>
  <c r="P20" i="42"/>
  <c r="O20" i="42"/>
  <c r="N20" i="42"/>
  <c r="M20" i="42"/>
  <c r="L20" i="42"/>
  <c r="K20" i="42"/>
  <c r="J20" i="42"/>
  <c r="J21" i="42" s="1"/>
  <c r="I20" i="42"/>
  <c r="H20" i="42"/>
  <c r="G20" i="42"/>
  <c r="F20" i="42"/>
  <c r="E20" i="42"/>
  <c r="D20" i="42"/>
  <c r="D21" i="42" s="1"/>
  <c r="R19" i="42"/>
  <c r="R18" i="42"/>
  <c r="R17" i="42"/>
  <c r="R16" i="42"/>
  <c r="R15" i="42"/>
  <c r="R14" i="42"/>
  <c r="R13" i="42"/>
  <c r="W11" i="42"/>
  <c r="Q11" i="42"/>
  <c r="P11" i="42"/>
  <c r="P12" i="42" s="1"/>
  <c r="P59" i="42" s="1"/>
  <c r="O11" i="42"/>
  <c r="N11" i="42"/>
  <c r="M11" i="42"/>
  <c r="L11" i="42"/>
  <c r="K11" i="42"/>
  <c r="J12" i="42" s="1"/>
  <c r="J11" i="42"/>
  <c r="I11" i="42"/>
  <c r="H11" i="42"/>
  <c r="H12" i="42" s="1"/>
  <c r="H59" i="42" s="1"/>
  <c r="G11" i="42"/>
  <c r="D12" i="42" s="1"/>
  <c r="F11" i="42"/>
  <c r="E11" i="42"/>
  <c r="D11" i="42"/>
  <c r="R10" i="42"/>
  <c r="R9" i="42"/>
  <c r="R8" i="42"/>
  <c r="R7" i="42"/>
  <c r="R6" i="42"/>
  <c r="R5" i="42"/>
  <c r="R4" i="42"/>
  <c r="A1" i="42" a="1"/>
  <c r="A1" i="42" s="1"/>
  <c r="Q56" i="41"/>
  <c r="P57" i="41" s="1"/>
  <c r="P56" i="41"/>
  <c r="O56" i="41"/>
  <c r="N56" i="41"/>
  <c r="M56" i="41"/>
  <c r="L56" i="41"/>
  <c r="K56" i="41"/>
  <c r="J56" i="41"/>
  <c r="J57" i="41" s="1"/>
  <c r="I56" i="41"/>
  <c r="H56" i="41"/>
  <c r="H57" i="41" s="1"/>
  <c r="G56" i="41"/>
  <c r="F56" i="41"/>
  <c r="E56" i="41"/>
  <c r="D57" i="41" s="1"/>
  <c r="R57" i="41" s="1"/>
  <c r="D56" i="41"/>
  <c r="R55" i="41"/>
  <c r="R54" i="41"/>
  <c r="R53" i="41"/>
  <c r="R52" i="41"/>
  <c r="R51" i="41"/>
  <c r="R50" i="41"/>
  <c r="R49" i="41"/>
  <c r="Q47" i="41"/>
  <c r="P47" i="41"/>
  <c r="P48" i="41" s="1"/>
  <c r="O47" i="41"/>
  <c r="N47" i="41"/>
  <c r="M47" i="41"/>
  <c r="L47" i="41"/>
  <c r="J48" i="41" s="1"/>
  <c r="K47" i="41"/>
  <c r="J47" i="41"/>
  <c r="I47" i="41"/>
  <c r="H47" i="41"/>
  <c r="H48" i="41" s="1"/>
  <c r="G47" i="41"/>
  <c r="F47" i="41"/>
  <c r="E47" i="41"/>
  <c r="D47" i="41"/>
  <c r="D48" i="41" s="1"/>
  <c r="R48" i="41" s="1"/>
  <c r="R46" i="41"/>
  <c r="R45" i="41"/>
  <c r="R44" i="41"/>
  <c r="R43" i="41"/>
  <c r="R42" i="41"/>
  <c r="R41" i="41"/>
  <c r="R40" i="41"/>
  <c r="H39" i="41"/>
  <c r="Q38" i="41"/>
  <c r="P38" i="41"/>
  <c r="P39" i="41" s="1"/>
  <c r="O38" i="41"/>
  <c r="N38" i="41"/>
  <c r="M38" i="41"/>
  <c r="L38" i="41"/>
  <c r="K38" i="41"/>
  <c r="J39" i="41" s="1"/>
  <c r="J38" i="41"/>
  <c r="I38" i="41"/>
  <c r="H38" i="41"/>
  <c r="G38" i="41"/>
  <c r="F38" i="41"/>
  <c r="E38" i="41"/>
  <c r="D38" i="41"/>
  <c r="D39" i="41" s="1"/>
  <c r="R39" i="41" s="1"/>
  <c r="R37" i="41"/>
  <c r="R36" i="41"/>
  <c r="R35" i="41"/>
  <c r="R34" i="41"/>
  <c r="R33" i="41"/>
  <c r="R32" i="41"/>
  <c r="R31" i="41"/>
  <c r="H30" i="41"/>
  <c r="Q29" i="41"/>
  <c r="P29" i="41"/>
  <c r="P30" i="41" s="1"/>
  <c r="O29" i="41"/>
  <c r="N29" i="41"/>
  <c r="M29" i="41"/>
  <c r="L29" i="41"/>
  <c r="K29" i="41"/>
  <c r="J29" i="41"/>
  <c r="J30" i="41" s="1"/>
  <c r="I29" i="41"/>
  <c r="H29" i="41"/>
  <c r="G29" i="41"/>
  <c r="F29" i="41"/>
  <c r="D30" i="41" s="1"/>
  <c r="R30" i="41" s="1"/>
  <c r="E29" i="41"/>
  <c r="D29" i="41"/>
  <c r="R28" i="41"/>
  <c r="R27" i="41"/>
  <c r="R26" i="41"/>
  <c r="R25" i="41"/>
  <c r="R24" i="41"/>
  <c r="V23" i="41"/>
  <c r="S3" i="41" s="1"/>
  <c r="R23" i="41"/>
  <c r="R22" i="41"/>
  <c r="H21" i="41"/>
  <c r="H59" i="41" s="1"/>
  <c r="AA23" i="41" s="1"/>
  <c r="Q20" i="41"/>
  <c r="P20" i="41"/>
  <c r="P21" i="41" s="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R18" i="41"/>
  <c r="R17" i="41"/>
  <c r="R16" i="41"/>
  <c r="R15" i="41"/>
  <c r="R14" i="41"/>
  <c r="R13" i="41"/>
  <c r="H12" i="41"/>
  <c r="W11" i="41"/>
  <c r="Q11" i="41"/>
  <c r="P11" i="41"/>
  <c r="P12" i="41" s="1"/>
  <c r="P59" i="41" s="1"/>
  <c r="O11" i="41"/>
  <c r="N11" i="41"/>
  <c r="M11" i="41"/>
  <c r="L11" i="41"/>
  <c r="K11" i="41"/>
  <c r="J11" i="41"/>
  <c r="J12" i="41" s="1"/>
  <c r="I11" i="41"/>
  <c r="H11" i="41"/>
  <c r="G11" i="41"/>
  <c r="D12" i="41" s="1"/>
  <c r="F11" i="41"/>
  <c r="E11" i="41"/>
  <c r="D11" i="41"/>
  <c r="R10" i="41"/>
  <c r="R9" i="41"/>
  <c r="R8" i="41"/>
  <c r="R7" i="41"/>
  <c r="R6" i="41"/>
  <c r="R5" i="41"/>
  <c r="R4" i="41"/>
  <c r="A1" i="41" a="1"/>
  <c r="A1" i="41" s="1"/>
  <c r="Q56" i="40"/>
  <c r="P56" i="40"/>
  <c r="P57" i="40" s="1"/>
  <c r="O56" i="40"/>
  <c r="N56" i="40"/>
  <c r="M56" i="40"/>
  <c r="L56" i="40"/>
  <c r="J57" i="40" s="1"/>
  <c r="K56" i="40"/>
  <c r="J56" i="40"/>
  <c r="I56" i="40"/>
  <c r="H56" i="40"/>
  <c r="H57" i="40" s="1"/>
  <c r="G56" i="40"/>
  <c r="F56" i="40"/>
  <c r="E56" i="40"/>
  <c r="D56" i="40"/>
  <c r="D57" i="40" s="1"/>
  <c r="R57" i="40" s="1"/>
  <c r="R55" i="40"/>
  <c r="R54" i="40"/>
  <c r="R53" i="40"/>
  <c r="R52" i="40"/>
  <c r="R51" i="40"/>
  <c r="R50" i="40"/>
  <c r="R49" i="40"/>
  <c r="H48" i="40"/>
  <c r="Q47" i="40"/>
  <c r="P47" i="40"/>
  <c r="P48" i="40" s="1"/>
  <c r="O47" i="40"/>
  <c r="N47" i="40"/>
  <c r="M47" i="40"/>
  <c r="L47" i="40"/>
  <c r="K47" i="40"/>
  <c r="J48" i="40" s="1"/>
  <c r="J47" i="40"/>
  <c r="I47" i="40"/>
  <c r="H47" i="40"/>
  <c r="G47" i="40"/>
  <c r="F47" i="40"/>
  <c r="E47" i="40"/>
  <c r="D47" i="40"/>
  <c r="D48" i="40" s="1"/>
  <c r="R48" i="40" s="1"/>
  <c r="R46" i="40"/>
  <c r="R45" i="40"/>
  <c r="R44" i="40"/>
  <c r="R43" i="40"/>
  <c r="R42" i="40"/>
  <c r="R41" i="40"/>
  <c r="R40" i="40"/>
  <c r="H39" i="40"/>
  <c r="Q38" i="40"/>
  <c r="P38" i="40"/>
  <c r="P39" i="40" s="1"/>
  <c r="O38" i="40"/>
  <c r="N38" i="40"/>
  <c r="M38" i="40"/>
  <c r="L38" i="40"/>
  <c r="K38" i="40"/>
  <c r="J38" i="40"/>
  <c r="J39" i="40" s="1"/>
  <c r="I38" i="40"/>
  <c r="H38" i="40"/>
  <c r="G38" i="40"/>
  <c r="F38" i="40"/>
  <c r="D39" i="40" s="1"/>
  <c r="R39" i="40" s="1"/>
  <c r="E38" i="40"/>
  <c r="D38" i="40"/>
  <c r="R37" i="40"/>
  <c r="R36" i="40"/>
  <c r="R35" i="40"/>
  <c r="R34" i="40"/>
  <c r="R33" i="40"/>
  <c r="R32" i="40"/>
  <c r="R31" i="40"/>
  <c r="Q29" i="40"/>
  <c r="P30" i="40" s="1"/>
  <c r="P29" i="40"/>
  <c r="O29" i="40"/>
  <c r="N29" i="40"/>
  <c r="M29" i="40"/>
  <c r="L29" i="40"/>
  <c r="K29" i="40"/>
  <c r="J29" i="40"/>
  <c r="J30" i="40" s="1"/>
  <c r="I29" i="40"/>
  <c r="H29" i="40"/>
  <c r="H30" i="40" s="1"/>
  <c r="G29" i="40"/>
  <c r="F29" i="40"/>
  <c r="E29" i="40"/>
  <c r="D30" i="40" s="1"/>
  <c r="D29" i="40"/>
  <c r="R28" i="40"/>
  <c r="R27" i="40"/>
  <c r="R26" i="40"/>
  <c r="R25" i="40"/>
  <c r="R24" i="40"/>
  <c r="R23" i="40"/>
  <c r="R22" i="40"/>
  <c r="H21" i="40"/>
  <c r="Q20" i="40"/>
  <c r="P20" i="40"/>
  <c r="P21" i="40" s="1"/>
  <c r="O20" i="40"/>
  <c r="N20" i="40"/>
  <c r="M20" i="40"/>
  <c r="L20" i="40"/>
  <c r="K20" i="40"/>
  <c r="J20" i="40"/>
  <c r="J21" i="40" s="1"/>
  <c r="I20" i="40"/>
  <c r="H20" i="40"/>
  <c r="G20" i="40"/>
  <c r="F20" i="40"/>
  <c r="D21" i="40" s="1"/>
  <c r="R21" i="40" s="1"/>
  <c r="E20" i="40"/>
  <c r="D20" i="40"/>
  <c r="R19" i="40"/>
  <c r="R18" i="40"/>
  <c r="R17" i="40"/>
  <c r="R16" i="40"/>
  <c r="R15" i="40"/>
  <c r="R14" i="40"/>
  <c r="R13" i="40"/>
  <c r="P12" i="40"/>
  <c r="W11" i="40"/>
  <c r="V23" i="40" s="1"/>
  <c r="S3" i="40" s="1"/>
  <c r="Q11" i="40"/>
  <c r="P11" i="40"/>
  <c r="O11" i="40"/>
  <c r="N11" i="40"/>
  <c r="M11" i="40"/>
  <c r="L11" i="40"/>
  <c r="K11" i="40"/>
  <c r="J11" i="40"/>
  <c r="J12" i="40" s="1"/>
  <c r="I11" i="40"/>
  <c r="H11" i="40"/>
  <c r="H12" i="40" s="1"/>
  <c r="H59" i="40" s="1"/>
  <c r="G11" i="40"/>
  <c r="F11" i="40"/>
  <c r="D12" i="40" s="1"/>
  <c r="E11" i="40"/>
  <c r="D11" i="40"/>
  <c r="R10" i="40"/>
  <c r="R9" i="40"/>
  <c r="R8" i="40"/>
  <c r="R7" i="40"/>
  <c r="R6" i="40"/>
  <c r="R5" i="40"/>
  <c r="R4" i="40"/>
  <c r="A1" i="40" a="1"/>
  <c r="A1" i="40" s="1"/>
  <c r="Q56" i="39"/>
  <c r="P57" i="39" s="1"/>
  <c r="P56" i="39"/>
  <c r="O56" i="39"/>
  <c r="N56" i="39"/>
  <c r="M56" i="39"/>
  <c r="L56" i="39"/>
  <c r="K56" i="39"/>
  <c r="J56" i="39"/>
  <c r="J57" i="39" s="1"/>
  <c r="I56" i="39"/>
  <c r="H56" i="39"/>
  <c r="H57" i="39" s="1"/>
  <c r="G56" i="39"/>
  <c r="F56" i="39"/>
  <c r="E56" i="39"/>
  <c r="D56" i="39"/>
  <c r="D57" i="39" s="1"/>
  <c r="R55" i="39"/>
  <c r="R54" i="39"/>
  <c r="R53" i="39"/>
  <c r="R52" i="39"/>
  <c r="R51" i="39"/>
  <c r="R50" i="39"/>
  <c r="R49" i="39"/>
  <c r="Q47" i="39"/>
  <c r="P47" i="39"/>
  <c r="P48" i="39" s="1"/>
  <c r="O47" i="39"/>
  <c r="N47" i="39"/>
  <c r="M47" i="39"/>
  <c r="L47" i="39"/>
  <c r="J48" i="39" s="1"/>
  <c r="K47" i="39"/>
  <c r="J47" i="39"/>
  <c r="I47" i="39"/>
  <c r="H47" i="39"/>
  <c r="H48" i="39" s="1"/>
  <c r="G47" i="39"/>
  <c r="F47" i="39"/>
  <c r="E47" i="39"/>
  <c r="D47" i="39"/>
  <c r="D48" i="39" s="1"/>
  <c r="R46" i="39"/>
  <c r="R45" i="39"/>
  <c r="R44" i="39"/>
  <c r="R43" i="39"/>
  <c r="R42" i="39"/>
  <c r="R41" i="39"/>
  <c r="R40" i="39"/>
  <c r="H39" i="39"/>
  <c r="Q38" i="39"/>
  <c r="P38" i="39"/>
  <c r="P39" i="39" s="1"/>
  <c r="O38" i="39"/>
  <c r="N38" i="39"/>
  <c r="M38" i="39"/>
  <c r="L38" i="39"/>
  <c r="K38" i="39"/>
  <c r="J38" i="39"/>
  <c r="J39" i="39" s="1"/>
  <c r="I38" i="39"/>
  <c r="H38" i="39"/>
  <c r="G38" i="39"/>
  <c r="F38" i="39"/>
  <c r="E38" i="39"/>
  <c r="D38" i="39"/>
  <c r="D39" i="39" s="1"/>
  <c r="R37" i="39"/>
  <c r="R36" i="39"/>
  <c r="R35" i="39"/>
  <c r="R34" i="39"/>
  <c r="R33" i="39"/>
  <c r="R32" i="39"/>
  <c r="R31" i="39"/>
  <c r="Q29" i="39"/>
  <c r="P29" i="39"/>
  <c r="P30" i="39" s="1"/>
  <c r="O29" i="39"/>
  <c r="N29" i="39"/>
  <c r="M29" i="39"/>
  <c r="L29" i="39"/>
  <c r="K29" i="39"/>
  <c r="J29" i="39"/>
  <c r="J30" i="39" s="1"/>
  <c r="I29" i="39"/>
  <c r="H29" i="39"/>
  <c r="H30" i="39" s="1"/>
  <c r="G29" i="39"/>
  <c r="F29" i="39"/>
  <c r="D30" i="39" s="1"/>
  <c r="R30" i="39" s="1"/>
  <c r="E29" i="39"/>
  <c r="D29" i="39"/>
  <c r="R28" i="39"/>
  <c r="R27" i="39"/>
  <c r="R26" i="39"/>
  <c r="R25" i="39"/>
  <c r="R24" i="39"/>
  <c r="V23" i="39"/>
  <c r="S3" i="39" s="1"/>
  <c r="R23" i="39"/>
  <c r="R22" i="39"/>
  <c r="Q20" i="39"/>
  <c r="P20" i="39"/>
  <c r="P21" i="39" s="1"/>
  <c r="O20" i="39"/>
  <c r="N20" i="39"/>
  <c r="M20" i="39"/>
  <c r="L20" i="39"/>
  <c r="K20" i="39"/>
  <c r="J20" i="39"/>
  <c r="I20" i="39"/>
  <c r="H20" i="39"/>
  <c r="G20" i="39"/>
  <c r="F20" i="39"/>
  <c r="E20" i="39"/>
  <c r="D20" i="39"/>
  <c r="D21" i="39" s="1"/>
  <c r="R19" i="39"/>
  <c r="R18" i="39"/>
  <c r="R17" i="39"/>
  <c r="R16" i="39"/>
  <c r="R15" i="39"/>
  <c r="R14" i="39"/>
  <c r="R13" i="39"/>
  <c r="W11" i="39"/>
  <c r="Q11" i="39"/>
  <c r="P11" i="39"/>
  <c r="P12" i="39" s="1"/>
  <c r="O11" i="39"/>
  <c r="N11" i="39"/>
  <c r="M11" i="39"/>
  <c r="L11" i="39"/>
  <c r="K11" i="39"/>
  <c r="J11" i="39"/>
  <c r="J12" i="39" s="1"/>
  <c r="I11" i="39"/>
  <c r="H11" i="39"/>
  <c r="H12" i="39" s="1"/>
  <c r="G11" i="39"/>
  <c r="D12" i="39" s="1"/>
  <c r="F11" i="39"/>
  <c r="E11" i="39"/>
  <c r="D11" i="39"/>
  <c r="R10" i="39"/>
  <c r="R9" i="39"/>
  <c r="R8" i="39"/>
  <c r="R7" i="39"/>
  <c r="R6" i="39"/>
  <c r="R5" i="39"/>
  <c r="R4" i="39"/>
  <c r="A1" i="39" a="1"/>
  <c r="A1" i="39" s="1"/>
  <c r="Q56" i="38"/>
  <c r="P57" i="38" s="1"/>
  <c r="P56" i="38"/>
  <c r="O56" i="38"/>
  <c r="N56" i="38"/>
  <c r="M56" i="38"/>
  <c r="L56" i="38"/>
  <c r="K56" i="38"/>
  <c r="J56" i="38"/>
  <c r="J57" i="38" s="1"/>
  <c r="I56" i="38"/>
  <c r="H56" i="38"/>
  <c r="H57" i="38" s="1"/>
  <c r="G56" i="38"/>
  <c r="F56" i="38"/>
  <c r="E56" i="38"/>
  <c r="D56" i="38"/>
  <c r="D57" i="38" s="1"/>
  <c r="R55" i="38"/>
  <c r="R54" i="38"/>
  <c r="R53" i="38"/>
  <c r="R52" i="38"/>
  <c r="R51" i="38"/>
  <c r="R50" i="38"/>
  <c r="R49" i="38"/>
  <c r="Q47" i="38"/>
  <c r="P47" i="38"/>
  <c r="P48" i="38" s="1"/>
  <c r="O47" i="38"/>
  <c r="N47" i="38"/>
  <c r="M47" i="38"/>
  <c r="L47" i="38"/>
  <c r="J48" i="38" s="1"/>
  <c r="K47" i="38"/>
  <c r="J47" i="38"/>
  <c r="I47" i="38"/>
  <c r="H47" i="38"/>
  <c r="H48" i="38" s="1"/>
  <c r="G47" i="38"/>
  <c r="F47" i="38"/>
  <c r="E47" i="38"/>
  <c r="D47" i="38"/>
  <c r="D48" i="38" s="1"/>
  <c r="R48" i="38" s="1"/>
  <c r="R46" i="38"/>
  <c r="R45" i="38"/>
  <c r="R44" i="38"/>
  <c r="R43" i="38"/>
  <c r="R42" i="38"/>
  <c r="R41" i="38"/>
  <c r="R40" i="38"/>
  <c r="H39" i="38"/>
  <c r="Q38" i="38"/>
  <c r="P38" i="38"/>
  <c r="P39" i="38" s="1"/>
  <c r="O38" i="38"/>
  <c r="N38" i="38"/>
  <c r="M38" i="38"/>
  <c r="L38" i="38"/>
  <c r="K38" i="38"/>
  <c r="J38" i="38"/>
  <c r="J39" i="38" s="1"/>
  <c r="I38" i="38"/>
  <c r="H38" i="38"/>
  <c r="G38" i="38"/>
  <c r="F38" i="38"/>
  <c r="E38" i="38"/>
  <c r="D38" i="38"/>
  <c r="D39" i="38" s="1"/>
  <c r="R37" i="38"/>
  <c r="R36" i="38"/>
  <c r="R35" i="38"/>
  <c r="R34" i="38"/>
  <c r="R33" i="38"/>
  <c r="R32" i="38"/>
  <c r="R31" i="38"/>
  <c r="Q29" i="38"/>
  <c r="P29" i="38"/>
  <c r="P30" i="38" s="1"/>
  <c r="O29" i="38"/>
  <c r="N29" i="38"/>
  <c r="M29" i="38"/>
  <c r="L29" i="38"/>
  <c r="K29" i="38"/>
  <c r="J29" i="38"/>
  <c r="J30" i="38" s="1"/>
  <c r="I29" i="38"/>
  <c r="H29" i="38"/>
  <c r="H30" i="38" s="1"/>
  <c r="G29" i="38"/>
  <c r="F29" i="38"/>
  <c r="D30" i="38" s="1"/>
  <c r="R30" i="38" s="1"/>
  <c r="E29" i="38"/>
  <c r="D29" i="38"/>
  <c r="R28" i="38"/>
  <c r="R27" i="38"/>
  <c r="R26" i="38"/>
  <c r="R25" i="38"/>
  <c r="R24" i="38"/>
  <c r="V23" i="38"/>
  <c r="S3" i="38" s="1"/>
  <c r="R23" i="38"/>
  <c r="R22" i="38"/>
  <c r="H21" i="38"/>
  <c r="Q20" i="38"/>
  <c r="P20" i="38"/>
  <c r="P21" i="38" s="1"/>
  <c r="O20" i="38"/>
  <c r="N20" i="38"/>
  <c r="M20" i="38"/>
  <c r="L20" i="38"/>
  <c r="K20" i="38"/>
  <c r="J20" i="38"/>
  <c r="J21" i="38" s="1"/>
  <c r="I20" i="38"/>
  <c r="H20" i="38"/>
  <c r="G20" i="38"/>
  <c r="F20" i="38"/>
  <c r="E20" i="38"/>
  <c r="D20" i="38"/>
  <c r="D21" i="38" s="1"/>
  <c r="R19" i="38"/>
  <c r="R18" i="38"/>
  <c r="R17" i="38"/>
  <c r="R16" i="38"/>
  <c r="R15" i="38"/>
  <c r="R14" i="38"/>
  <c r="R13" i="38"/>
  <c r="W11" i="38"/>
  <c r="Q11" i="38"/>
  <c r="P11" i="38"/>
  <c r="P12" i="38" s="1"/>
  <c r="P59" i="38" s="1"/>
  <c r="O11" i="38"/>
  <c r="N11" i="38"/>
  <c r="M11" i="38"/>
  <c r="L11" i="38"/>
  <c r="K11" i="38"/>
  <c r="J11" i="38"/>
  <c r="J12" i="38" s="1"/>
  <c r="I11" i="38"/>
  <c r="H11" i="38"/>
  <c r="H12" i="38" s="1"/>
  <c r="H59" i="38" s="1"/>
  <c r="G11" i="38"/>
  <c r="D12" i="38" s="1"/>
  <c r="F11" i="38"/>
  <c r="E11" i="38"/>
  <c r="D11" i="38"/>
  <c r="R10" i="38"/>
  <c r="R9" i="38"/>
  <c r="R8" i="38"/>
  <c r="R7" i="38"/>
  <c r="R6" i="38"/>
  <c r="R5" i="38"/>
  <c r="R4" i="38"/>
  <c r="A1" i="38" a="1"/>
  <c r="A1" i="38" s="1"/>
  <c r="P57" i="37"/>
  <c r="Q56" i="37"/>
  <c r="P56" i="37"/>
  <c r="O56" i="37"/>
  <c r="N56" i="37"/>
  <c r="M56" i="37"/>
  <c r="L56" i="37"/>
  <c r="K56" i="37"/>
  <c r="J56" i="37"/>
  <c r="J57" i="37" s="1"/>
  <c r="I56" i="37"/>
  <c r="H56" i="37"/>
  <c r="H57" i="37" s="1"/>
  <c r="G56" i="37"/>
  <c r="F56" i="37"/>
  <c r="E56" i="37"/>
  <c r="D56" i="37"/>
  <c r="D57" i="37" s="1"/>
  <c r="R57" i="37" s="1"/>
  <c r="R55" i="37"/>
  <c r="R54" i="37"/>
  <c r="R53" i="37"/>
  <c r="R52" i="37"/>
  <c r="R51" i="37"/>
  <c r="R50" i="37"/>
  <c r="R49" i="37"/>
  <c r="Q47" i="37"/>
  <c r="P47" i="37"/>
  <c r="P48" i="37" s="1"/>
  <c r="O47" i="37"/>
  <c r="N47" i="37"/>
  <c r="M47" i="37"/>
  <c r="L47" i="37"/>
  <c r="J48" i="37" s="1"/>
  <c r="K47" i="37"/>
  <c r="J47" i="37"/>
  <c r="I47" i="37"/>
  <c r="H47" i="37"/>
  <c r="H48" i="37" s="1"/>
  <c r="G47" i="37"/>
  <c r="F47" i="37"/>
  <c r="E47" i="37"/>
  <c r="D47" i="37"/>
  <c r="D48" i="37" s="1"/>
  <c r="R48" i="37" s="1"/>
  <c r="R46" i="37"/>
  <c r="R45" i="37"/>
  <c r="R44" i="37"/>
  <c r="R43" i="37"/>
  <c r="R42" i="37"/>
  <c r="R41" i="37"/>
  <c r="R40" i="37"/>
  <c r="H39" i="37"/>
  <c r="Q38" i="37"/>
  <c r="P38" i="37"/>
  <c r="P39" i="37" s="1"/>
  <c r="O38" i="37"/>
  <c r="N38" i="37"/>
  <c r="M38" i="37"/>
  <c r="L38" i="37"/>
  <c r="K38" i="37"/>
  <c r="J38" i="37"/>
  <c r="J39" i="37" s="1"/>
  <c r="I38" i="37"/>
  <c r="H38" i="37"/>
  <c r="G38" i="37"/>
  <c r="F38" i="37"/>
  <c r="E38" i="37"/>
  <c r="D38" i="37"/>
  <c r="D39" i="37" s="1"/>
  <c r="R37" i="37"/>
  <c r="R36" i="37"/>
  <c r="R35" i="37"/>
  <c r="R34" i="37"/>
  <c r="R33" i="37"/>
  <c r="R32" i="37"/>
  <c r="R31" i="37"/>
  <c r="Q29" i="37"/>
  <c r="P29" i="37"/>
  <c r="P30" i="37" s="1"/>
  <c r="O29" i="37"/>
  <c r="N29" i="37"/>
  <c r="M29" i="37"/>
  <c r="L29" i="37"/>
  <c r="K29" i="37"/>
  <c r="J29" i="37"/>
  <c r="J30" i="37" s="1"/>
  <c r="I29" i="37"/>
  <c r="H29" i="37"/>
  <c r="H30" i="37" s="1"/>
  <c r="G29" i="37"/>
  <c r="F29" i="37"/>
  <c r="D30" i="37" s="1"/>
  <c r="E29" i="37"/>
  <c r="D29" i="37"/>
  <c r="R28" i="37"/>
  <c r="R27" i="37"/>
  <c r="R26" i="37"/>
  <c r="R25" i="37"/>
  <c r="R24" i="37"/>
  <c r="V23" i="37"/>
  <c r="S3" i="37" s="1"/>
  <c r="R23" i="37"/>
  <c r="R22" i="37"/>
  <c r="H21" i="37"/>
  <c r="Q20" i="37"/>
  <c r="P20" i="37"/>
  <c r="P21" i="37" s="1"/>
  <c r="O20" i="37"/>
  <c r="N20" i="37"/>
  <c r="M20" i="37"/>
  <c r="L20" i="37"/>
  <c r="K20" i="37"/>
  <c r="J20" i="37"/>
  <c r="J21" i="37" s="1"/>
  <c r="I20" i="37"/>
  <c r="H20" i="37"/>
  <c r="G20" i="37"/>
  <c r="F20" i="37"/>
  <c r="E20" i="37"/>
  <c r="D20" i="37"/>
  <c r="D21" i="37" s="1"/>
  <c r="R19" i="37"/>
  <c r="R18" i="37"/>
  <c r="R17" i="37"/>
  <c r="R16" i="37"/>
  <c r="R15" i="37"/>
  <c r="R14" i="37"/>
  <c r="R13" i="37"/>
  <c r="W11" i="37"/>
  <c r="Q11" i="37"/>
  <c r="P11" i="37"/>
  <c r="P12" i="37" s="1"/>
  <c r="P59" i="37" s="1"/>
  <c r="O11" i="37"/>
  <c r="N11" i="37"/>
  <c r="M11" i="37"/>
  <c r="L11" i="37"/>
  <c r="K11" i="37"/>
  <c r="J11" i="37"/>
  <c r="J12" i="37" s="1"/>
  <c r="I11" i="37"/>
  <c r="H11" i="37"/>
  <c r="H12" i="37" s="1"/>
  <c r="H59" i="37" s="1"/>
  <c r="G11" i="37"/>
  <c r="D12" i="37" s="1"/>
  <c r="F11" i="37"/>
  <c r="E11" i="37"/>
  <c r="D11" i="37"/>
  <c r="R10" i="37"/>
  <c r="R9" i="37"/>
  <c r="R8" i="37"/>
  <c r="R7" i="37"/>
  <c r="R6" i="37"/>
  <c r="R5" i="37"/>
  <c r="R4" i="37"/>
  <c r="A1" i="37" a="1"/>
  <c r="A1" i="37" s="1"/>
  <c r="Q56" i="36"/>
  <c r="P57" i="36" s="1"/>
  <c r="P56" i="36"/>
  <c r="O56" i="36"/>
  <c r="N56" i="36"/>
  <c r="M56" i="36"/>
  <c r="L56" i="36"/>
  <c r="K56" i="36"/>
  <c r="J56" i="36"/>
  <c r="J57" i="36" s="1"/>
  <c r="I56" i="36"/>
  <c r="H56" i="36"/>
  <c r="H57" i="36" s="1"/>
  <c r="G56" i="36"/>
  <c r="F56" i="36"/>
  <c r="E56" i="36"/>
  <c r="D56" i="36"/>
  <c r="D57" i="36" s="1"/>
  <c r="R55" i="36"/>
  <c r="R54" i="36"/>
  <c r="R53" i="36"/>
  <c r="R52" i="36"/>
  <c r="R51" i="36"/>
  <c r="R50" i="36"/>
  <c r="R49" i="36"/>
  <c r="Q47" i="36"/>
  <c r="P47" i="36"/>
  <c r="P48" i="36" s="1"/>
  <c r="O47" i="36"/>
  <c r="N47" i="36"/>
  <c r="M47" i="36"/>
  <c r="L47" i="36"/>
  <c r="J48" i="36" s="1"/>
  <c r="K47" i="36"/>
  <c r="J47" i="36"/>
  <c r="I47" i="36"/>
  <c r="H47" i="36"/>
  <c r="H48" i="36" s="1"/>
  <c r="G47" i="36"/>
  <c r="F47" i="36"/>
  <c r="E47" i="36"/>
  <c r="D47" i="36"/>
  <c r="D48" i="36" s="1"/>
  <c r="R48" i="36" s="1"/>
  <c r="R46" i="36"/>
  <c r="R45" i="36"/>
  <c r="R44" i="36"/>
  <c r="R43" i="36"/>
  <c r="R42" i="36"/>
  <c r="R41" i="36"/>
  <c r="R40" i="36"/>
  <c r="H39" i="36"/>
  <c r="Q38" i="36"/>
  <c r="P38" i="36"/>
  <c r="P39" i="36" s="1"/>
  <c r="O38" i="36"/>
  <c r="N38" i="36"/>
  <c r="M38" i="36"/>
  <c r="L38" i="36"/>
  <c r="K38" i="36"/>
  <c r="J38" i="36"/>
  <c r="J39" i="36" s="1"/>
  <c r="I38" i="36"/>
  <c r="H38" i="36"/>
  <c r="G38" i="36"/>
  <c r="F38" i="36"/>
  <c r="E38" i="36"/>
  <c r="D38" i="36"/>
  <c r="D39" i="36" s="1"/>
  <c r="R37" i="36"/>
  <c r="R36" i="36"/>
  <c r="R35" i="36"/>
  <c r="R34" i="36"/>
  <c r="R33" i="36"/>
  <c r="R32" i="36"/>
  <c r="R31" i="36"/>
  <c r="Q29" i="36"/>
  <c r="P29" i="36"/>
  <c r="P30" i="36" s="1"/>
  <c r="O29" i="36"/>
  <c r="N29" i="36"/>
  <c r="M29" i="36"/>
  <c r="L29" i="36"/>
  <c r="K29" i="36"/>
  <c r="J29" i="36"/>
  <c r="I29" i="36"/>
  <c r="H29" i="36"/>
  <c r="H30" i="36" s="1"/>
  <c r="G29" i="36"/>
  <c r="F29" i="36"/>
  <c r="D30" i="36" s="1"/>
  <c r="E29" i="36"/>
  <c r="D29" i="36"/>
  <c r="R28" i="36"/>
  <c r="R27" i="36"/>
  <c r="R26" i="36"/>
  <c r="R25" i="36"/>
  <c r="R24" i="36"/>
  <c r="V23" i="36"/>
  <c r="S3" i="36" s="1"/>
  <c r="R23" i="36"/>
  <c r="R22" i="36"/>
  <c r="H21" i="36"/>
  <c r="Q20" i="36"/>
  <c r="P21" i="36" s="1"/>
  <c r="P20" i="36"/>
  <c r="O20" i="36"/>
  <c r="N20" i="36"/>
  <c r="M20" i="36"/>
  <c r="L20" i="36"/>
  <c r="K20" i="36"/>
  <c r="J20" i="36"/>
  <c r="J21" i="36" s="1"/>
  <c r="I20" i="36"/>
  <c r="H20" i="36"/>
  <c r="G20" i="36"/>
  <c r="F20" i="36"/>
  <c r="E20" i="36"/>
  <c r="D20" i="36"/>
  <c r="D21" i="36" s="1"/>
  <c r="R19" i="36"/>
  <c r="R18" i="36"/>
  <c r="R17" i="36"/>
  <c r="R16" i="36"/>
  <c r="R15" i="36"/>
  <c r="R14" i="36"/>
  <c r="R13" i="36"/>
  <c r="W11" i="36"/>
  <c r="Q11" i="36"/>
  <c r="P11" i="36"/>
  <c r="P12" i="36" s="1"/>
  <c r="O11" i="36"/>
  <c r="N11" i="36"/>
  <c r="M11" i="36"/>
  <c r="L11" i="36"/>
  <c r="K11" i="36"/>
  <c r="J12" i="36" s="1"/>
  <c r="J11" i="36"/>
  <c r="I11" i="36"/>
  <c r="H11" i="36"/>
  <c r="H12" i="36" s="1"/>
  <c r="G11" i="36"/>
  <c r="D12" i="36" s="1"/>
  <c r="F11" i="36"/>
  <c r="E11" i="36"/>
  <c r="D11" i="36"/>
  <c r="R10" i="36"/>
  <c r="R9" i="36"/>
  <c r="R8" i="36"/>
  <c r="R7" i="36"/>
  <c r="R6" i="36"/>
  <c r="R5" i="36"/>
  <c r="R4" i="36"/>
  <c r="A1" i="36" a="1"/>
  <c r="A1" i="36" s="1"/>
  <c r="Q56" i="35"/>
  <c r="P57" i="35" s="1"/>
  <c r="P56" i="35"/>
  <c r="O56" i="35"/>
  <c r="N56" i="35"/>
  <c r="M56" i="35"/>
  <c r="L56" i="35"/>
  <c r="K56" i="35"/>
  <c r="J56" i="35"/>
  <c r="J57" i="35" s="1"/>
  <c r="I56" i="35"/>
  <c r="H56" i="35"/>
  <c r="H57" i="35" s="1"/>
  <c r="G56" i="35"/>
  <c r="F56" i="35"/>
  <c r="E56" i="35"/>
  <c r="D56" i="35"/>
  <c r="D57" i="35" s="1"/>
  <c r="R55" i="35"/>
  <c r="R54" i="35"/>
  <c r="R53" i="35"/>
  <c r="R52" i="35"/>
  <c r="R51" i="35"/>
  <c r="R50" i="35"/>
  <c r="R49" i="35"/>
  <c r="Q47" i="35"/>
  <c r="P47" i="35"/>
  <c r="P48" i="35" s="1"/>
  <c r="O47" i="35"/>
  <c r="N47" i="35"/>
  <c r="M47" i="35"/>
  <c r="L47" i="35"/>
  <c r="J48" i="35" s="1"/>
  <c r="K47" i="35"/>
  <c r="J47" i="35"/>
  <c r="I47" i="35"/>
  <c r="H47" i="35"/>
  <c r="H48" i="35" s="1"/>
  <c r="G47" i="35"/>
  <c r="F47" i="35"/>
  <c r="E47" i="35"/>
  <c r="D47" i="35"/>
  <c r="D48" i="35" s="1"/>
  <c r="R48" i="35" s="1"/>
  <c r="R46" i="35"/>
  <c r="R45" i="35"/>
  <c r="R44" i="35"/>
  <c r="R43" i="35"/>
  <c r="R42" i="35"/>
  <c r="R41" i="35"/>
  <c r="R40" i="35"/>
  <c r="H39" i="35"/>
  <c r="Q38" i="35"/>
  <c r="P38" i="35"/>
  <c r="P39" i="35" s="1"/>
  <c r="O38" i="35"/>
  <c r="N38" i="35"/>
  <c r="M38" i="35"/>
  <c r="L38" i="35"/>
  <c r="K38" i="35"/>
  <c r="J38" i="35"/>
  <c r="J39" i="35" s="1"/>
  <c r="I38" i="35"/>
  <c r="H38" i="35"/>
  <c r="G38" i="35"/>
  <c r="F38" i="35"/>
  <c r="E38" i="35"/>
  <c r="D38" i="35"/>
  <c r="D39" i="35" s="1"/>
  <c r="R37" i="35"/>
  <c r="R36" i="35"/>
  <c r="R35" i="35"/>
  <c r="R34" i="35"/>
  <c r="R33" i="35"/>
  <c r="R32" i="35"/>
  <c r="R31" i="35"/>
  <c r="Q29" i="35"/>
  <c r="P29" i="35"/>
  <c r="P30" i="35" s="1"/>
  <c r="O29" i="35"/>
  <c r="N29" i="35"/>
  <c r="M29" i="35"/>
  <c r="L29" i="35"/>
  <c r="K29" i="35"/>
  <c r="J29" i="35"/>
  <c r="J30" i="35" s="1"/>
  <c r="I29" i="35"/>
  <c r="H29" i="35"/>
  <c r="H30" i="35" s="1"/>
  <c r="G29" i="35"/>
  <c r="F29" i="35"/>
  <c r="D30" i="35" s="1"/>
  <c r="R30" i="35" s="1"/>
  <c r="E29" i="35"/>
  <c r="D29" i="35"/>
  <c r="R28" i="35"/>
  <c r="R27" i="35"/>
  <c r="R26" i="35"/>
  <c r="R25" i="35"/>
  <c r="R24" i="35"/>
  <c r="V23" i="35"/>
  <c r="S3" i="35" s="1"/>
  <c r="R23" i="35"/>
  <c r="R22" i="35"/>
  <c r="H21" i="35"/>
  <c r="Q20" i="35"/>
  <c r="P20" i="35"/>
  <c r="P21" i="35" s="1"/>
  <c r="O20" i="35"/>
  <c r="N20" i="35"/>
  <c r="M20" i="35"/>
  <c r="L20" i="35"/>
  <c r="K20" i="35"/>
  <c r="J20" i="35"/>
  <c r="J21" i="35" s="1"/>
  <c r="I20" i="35"/>
  <c r="H20" i="35"/>
  <c r="G20" i="35"/>
  <c r="F20" i="35"/>
  <c r="E20" i="35"/>
  <c r="D20" i="35"/>
  <c r="D21" i="35" s="1"/>
  <c r="R19" i="35"/>
  <c r="R18" i="35"/>
  <c r="R17" i="35"/>
  <c r="R16" i="35"/>
  <c r="R15" i="35"/>
  <c r="R14" i="35"/>
  <c r="R13" i="35"/>
  <c r="W11" i="35"/>
  <c r="Q11" i="35"/>
  <c r="P11" i="35"/>
  <c r="P12" i="35" s="1"/>
  <c r="P59" i="35" s="1"/>
  <c r="O11" i="35"/>
  <c r="N11" i="35"/>
  <c r="M11" i="35"/>
  <c r="L11" i="35"/>
  <c r="K11" i="35"/>
  <c r="J11" i="35"/>
  <c r="J12" i="35" s="1"/>
  <c r="I11" i="35"/>
  <c r="H11" i="35"/>
  <c r="H12" i="35" s="1"/>
  <c r="H59" i="35" s="1"/>
  <c r="G11" i="35"/>
  <c r="D12" i="35" s="1"/>
  <c r="F11" i="35"/>
  <c r="E11" i="35"/>
  <c r="D11" i="35"/>
  <c r="R10" i="35"/>
  <c r="R9" i="35"/>
  <c r="R8" i="35"/>
  <c r="R7" i="35"/>
  <c r="R6" i="35"/>
  <c r="R5" i="35"/>
  <c r="R4" i="35"/>
  <c r="A1" i="35" a="1"/>
  <c r="A1" i="35" s="1"/>
  <c r="P57" i="34"/>
  <c r="Q56" i="34"/>
  <c r="P56" i="34"/>
  <c r="O56" i="34"/>
  <c r="N56" i="34"/>
  <c r="M56" i="34"/>
  <c r="L56" i="34"/>
  <c r="K56" i="34"/>
  <c r="J56" i="34"/>
  <c r="J57" i="34" s="1"/>
  <c r="I56" i="34"/>
  <c r="H56" i="34"/>
  <c r="H57" i="34" s="1"/>
  <c r="G56" i="34"/>
  <c r="F56" i="34"/>
  <c r="E56" i="34"/>
  <c r="D56" i="34"/>
  <c r="D57" i="34" s="1"/>
  <c r="R57" i="34" s="1"/>
  <c r="R55" i="34"/>
  <c r="R54" i="34"/>
  <c r="R53" i="34"/>
  <c r="R52" i="34"/>
  <c r="R51" i="34"/>
  <c r="R50" i="34"/>
  <c r="R49" i="34"/>
  <c r="Q47" i="34"/>
  <c r="P47" i="34"/>
  <c r="P48" i="34" s="1"/>
  <c r="O47" i="34"/>
  <c r="N47" i="34"/>
  <c r="M47" i="34"/>
  <c r="L47" i="34"/>
  <c r="J48" i="34" s="1"/>
  <c r="K47" i="34"/>
  <c r="J47" i="34"/>
  <c r="I47" i="34"/>
  <c r="H47" i="34"/>
  <c r="H48" i="34" s="1"/>
  <c r="G47" i="34"/>
  <c r="F47" i="34"/>
  <c r="E47" i="34"/>
  <c r="D47" i="34"/>
  <c r="D48" i="34" s="1"/>
  <c r="R48" i="34" s="1"/>
  <c r="R46" i="34"/>
  <c r="R45" i="34"/>
  <c r="R44" i="34"/>
  <c r="R43" i="34"/>
  <c r="R42" i="34"/>
  <c r="R41" i="34"/>
  <c r="R40" i="34"/>
  <c r="H39" i="34"/>
  <c r="Q38" i="34"/>
  <c r="P38" i="34"/>
  <c r="P39" i="34" s="1"/>
  <c r="O38" i="34"/>
  <c r="N38" i="34"/>
  <c r="M38" i="34"/>
  <c r="L38" i="34"/>
  <c r="K38" i="34"/>
  <c r="J38" i="34"/>
  <c r="J39" i="34" s="1"/>
  <c r="I38" i="34"/>
  <c r="H38" i="34"/>
  <c r="G38" i="34"/>
  <c r="F38" i="34"/>
  <c r="E38" i="34"/>
  <c r="D38" i="34"/>
  <c r="D39" i="34" s="1"/>
  <c r="R37" i="34"/>
  <c r="R36" i="34"/>
  <c r="R35" i="34"/>
  <c r="R34" i="34"/>
  <c r="R33" i="34"/>
  <c r="R32" i="34"/>
  <c r="R31" i="34"/>
  <c r="Q29" i="34"/>
  <c r="P29" i="34"/>
  <c r="P30" i="34" s="1"/>
  <c r="O29" i="34"/>
  <c r="N29" i="34"/>
  <c r="M29" i="34"/>
  <c r="L29" i="34"/>
  <c r="K29" i="34"/>
  <c r="J29" i="34"/>
  <c r="J30" i="34" s="1"/>
  <c r="I29" i="34"/>
  <c r="H29" i="34"/>
  <c r="H30" i="34" s="1"/>
  <c r="G29" i="34"/>
  <c r="F29" i="34"/>
  <c r="D30" i="34" s="1"/>
  <c r="E29" i="34"/>
  <c r="D29" i="34"/>
  <c r="R28" i="34"/>
  <c r="R27" i="34"/>
  <c r="R26" i="34"/>
  <c r="R25" i="34"/>
  <c r="R24" i="34"/>
  <c r="V23" i="34"/>
  <c r="S3" i="34" s="1"/>
  <c r="R23" i="34"/>
  <c r="R22" i="34"/>
  <c r="H21" i="34"/>
  <c r="Q20" i="34"/>
  <c r="P20" i="34"/>
  <c r="P21" i="34" s="1"/>
  <c r="O20" i="34"/>
  <c r="N20" i="34"/>
  <c r="M20" i="34"/>
  <c r="L20" i="34"/>
  <c r="K20" i="34"/>
  <c r="J20" i="34"/>
  <c r="J21" i="34" s="1"/>
  <c r="I20" i="34"/>
  <c r="H20" i="34"/>
  <c r="G20" i="34"/>
  <c r="F20" i="34"/>
  <c r="E20" i="34"/>
  <c r="D20" i="34"/>
  <c r="D21" i="34" s="1"/>
  <c r="R19" i="34"/>
  <c r="R18" i="34"/>
  <c r="R17" i="34"/>
  <c r="R16" i="34"/>
  <c r="R15" i="34"/>
  <c r="R14" i="34"/>
  <c r="R13" i="34"/>
  <c r="W11" i="34"/>
  <c r="Q11" i="34"/>
  <c r="P11" i="34"/>
  <c r="P12" i="34" s="1"/>
  <c r="P59" i="34" s="1"/>
  <c r="O11" i="34"/>
  <c r="N11" i="34"/>
  <c r="M11" i="34"/>
  <c r="L11" i="34"/>
  <c r="K11" i="34"/>
  <c r="J11" i="34"/>
  <c r="J12" i="34" s="1"/>
  <c r="I11" i="34"/>
  <c r="H11" i="34"/>
  <c r="H12" i="34" s="1"/>
  <c r="H59" i="34" s="1"/>
  <c r="G11" i="34"/>
  <c r="D12" i="34" s="1"/>
  <c r="F11" i="34"/>
  <c r="E11" i="34"/>
  <c r="D11" i="34"/>
  <c r="R10" i="34"/>
  <c r="R9" i="34"/>
  <c r="R8" i="34"/>
  <c r="R7" i="34"/>
  <c r="R6" i="34"/>
  <c r="R5" i="34"/>
  <c r="R4" i="34"/>
  <c r="A1" i="34" a="1"/>
  <c r="A1" i="34" s="1"/>
  <c r="E4" i="31"/>
  <c r="D4" i="31"/>
  <c r="C4" i="31"/>
  <c r="E3" i="31"/>
  <c r="D3" i="31"/>
  <c r="C3" i="31"/>
  <c r="B3" i="31"/>
  <c r="Q56" i="33"/>
  <c r="P57" i="33" s="1"/>
  <c r="P56" i="33"/>
  <c r="O56" i="33"/>
  <c r="N56" i="33"/>
  <c r="M56" i="33"/>
  <c r="L56" i="33"/>
  <c r="J57" i="33" s="1"/>
  <c r="K56" i="33"/>
  <c r="J56" i="33"/>
  <c r="I56" i="33"/>
  <c r="H56" i="33"/>
  <c r="H57" i="33" s="1"/>
  <c r="G56" i="33"/>
  <c r="F56" i="33"/>
  <c r="E56" i="33"/>
  <c r="D56" i="33"/>
  <c r="D57" i="33" s="1"/>
  <c r="R57" i="33" s="1"/>
  <c r="R55" i="33"/>
  <c r="R54" i="33"/>
  <c r="R53" i="33"/>
  <c r="R52" i="33"/>
  <c r="R51" i="33"/>
  <c r="R50" i="33"/>
  <c r="R49" i="33"/>
  <c r="Q47" i="33"/>
  <c r="P47" i="33"/>
  <c r="P48" i="33" s="1"/>
  <c r="O47" i="33"/>
  <c r="N47" i="33"/>
  <c r="M47" i="33"/>
  <c r="L47" i="33"/>
  <c r="J48" i="33" s="1"/>
  <c r="K47" i="33"/>
  <c r="J47" i="33"/>
  <c r="I47" i="33"/>
  <c r="H47" i="33"/>
  <c r="H48" i="33" s="1"/>
  <c r="G47" i="33"/>
  <c r="F47" i="33"/>
  <c r="E47" i="33"/>
  <c r="D47" i="33"/>
  <c r="D48" i="33" s="1"/>
  <c r="R48" i="33" s="1"/>
  <c r="R46" i="33"/>
  <c r="R45" i="33"/>
  <c r="R44" i="33"/>
  <c r="R43" i="33"/>
  <c r="R42" i="33"/>
  <c r="R41" i="33"/>
  <c r="R40" i="33"/>
  <c r="H39" i="33"/>
  <c r="Q38" i="33"/>
  <c r="P38" i="33"/>
  <c r="P39" i="33" s="1"/>
  <c r="O38" i="33"/>
  <c r="N38" i="33"/>
  <c r="M38" i="33"/>
  <c r="L38" i="33"/>
  <c r="K38" i="33"/>
  <c r="J38" i="33"/>
  <c r="J39" i="33" s="1"/>
  <c r="I38" i="33"/>
  <c r="H38" i="33"/>
  <c r="G38" i="33"/>
  <c r="F38" i="33"/>
  <c r="D39" i="33" s="1"/>
  <c r="R39" i="33" s="1"/>
  <c r="E38" i="33"/>
  <c r="D38" i="33"/>
  <c r="R37" i="33"/>
  <c r="R36" i="33"/>
  <c r="R35" i="33"/>
  <c r="R34" i="33"/>
  <c r="R33" i="33"/>
  <c r="R32" i="33"/>
  <c r="R31" i="33"/>
  <c r="Q29" i="33"/>
  <c r="P30" i="33" s="1"/>
  <c r="P29" i="33"/>
  <c r="O29" i="33"/>
  <c r="N29" i="33"/>
  <c r="M29" i="33"/>
  <c r="L29" i="33"/>
  <c r="K29" i="33"/>
  <c r="J29" i="33"/>
  <c r="J30" i="33" s="1"/>
  <c r="I29" i="33"/>
  <c r="H29" i="33"/>
  <c r="H30" i="33" s="1"/>
  <c r="G29" i="33"/>
  <c r="F29" i="33"/>
  <c r="D30" i="33" s="1"/>
  <c r="R30" i="33" s="1"/>
  <c r="E29" i="33"/>
  <c r="D29" i="33"/>
  <c r="R28" i="33"/>
  <c r="R27" i="33"/>
  <c r="R26" i="33"/>
  <c r="R25" i="33"/>
  <c r="R24" i="33"/>
  <c r="V23" i="33"/>
  <c r="S3" i="33" s="1"/>
  <c r="R23" i="33"/>
  <c r="R22" i="33"/>
  <c r="H21" i="33"/>
  <c r="Q20" i="33"/>
  <c r="P20" i="33"/>
  <c r="P21" i="33" s="1"/>
  <c r="O20" i="33"/>
  <c r="N20" i="33"/>
  <c r="M20" i="33"/>
  <c r="L20" i="33"/>
  <c r="K20" i="33"/>
  <c r="J20" i="33"/>
  <c r="J21" i="33" s="1"/>
  <c r="I20" i="33"/>
  <c r="H20" i="33"/>
  <c r="G20" i="33"/>
  <c r="F20" i="33"/>
  <c r="D21" i="33" s="1"/>
  <c r="R21" i="33" s="1"/>
  <c r="E20" i="33"/>
  <c r="D20" i="33"/>
  <c r="R19" i="33"/>
  <c r="R18" i="33"/>
  <c r="R17" i="33"/>
  <c r="R16" i="33"/>
  <c r="R15" i="33"/>
  <c r="R14" i="33"/>
  <c r="R13" i="33"/>
  <c r="P12" i="33"/>
  <c r="P59" i="33" s="1"/>
  <c r="W11" i="33"/>
  <c r="Q11" i="33"/>
  <c r="P11" i="33"/>
  <c r="O11" i="33"/>
  <c r="N11" i="33"/>
  <c r="M11" i="33"/>
  <c r="L11" i="33"/>
  <c r="K11" i="33"/>
  <c r="J11" i="33"/>
  <c r="J12" i="33" s="1"/>
  <c r="I11" i="33"/>
  <c r="H11" i="33"/>
  <c r="H12" i="33" s="1"/>
  <c r="H59" i="33" s="1"/>
  <c r="G11" i="33"/>
  <c r="D12" i="33" s="1"/>
  <c r="F11" i="33"/>
  <c r="E11" i="33"/>
  <c r="D11" i="33"/>
  <c r="R10" i="33"/>
  <c r="R9" i="33"/>
  <c r="R8" i="33"/>
  <c r="R7" i="33"/>
  <c r="R6" i="33"/>
  <c r="R5" i="33"/>
  <c r="R4" i="33"/>
  <c r="A1" i="33" a="1"/>
  <c r="A1" i="33" s="1"/>
  <c r="A1" i="30" a="1"/>
  <c r="A1" i="30" s="1"/>
  <c r="A1" i="32" a="1"/>
  <c r="A1" i="32" s="1"/>
  <c r="Q56" i="32"/>
  <c r="P57" i="32" s="1"/>
  <c r="P56" i="32"/>
  <c r="O56" i="32"/>
  <c r="N56" i="32"/>
  <c r="M56" i="32"/>
  <c r="L56" i="32"/>
  <c r="K56" i="32"/>
  <c r="J56" i="32"/>
  <c r="J57" i="32" s="1"/>
  <c r="I56" i="32"/>
  <c r="H56" i="32"/>
  <c r="H57" i="32" s="1"/>
  <c r="G56" i="32"/>
  <c r="F56" i="32"/>
  <c r="E56" i="32"/>
  <c r="D56" i="32"/>
  <c r="D57" i="32" s="1"/>
  <c r="R55" i="32"/>
  <c r="R54" i="32"/>
  <c r="R53" i="32"/>
  <c r="R52" i="32"/>
  <c r="R51" i="32"/>
  <c r="R50" i="32"/>
  <c r="R49" i="32"/>
  <c r="Q47" i="32"/>
  <c r="P47" i="32"/>
  <c r="P48" i="32" s="1"/>
  <c r="O47" i="32"/>
  <c r="N47" i="32"/>
  <c r="M47" i="32"/>
  <c r="L47" i="32"/>
  <c r="J48" i="32" s="1"/>
  <c r="K47" i="32"/>
  <c r="J47" i="32"/>
  <c r="I47" i="32"/>
  <c r="H47" i="32"/>
  <c r="H48" i="32" s="1"/>
  <c r="G47" i="32"/>
  <c r="F47" i="32"/>
  <c r="E47" i="32"/>
  <c r="D47" i="32"/>
  <c r="D48" i="32" s="1"/>
  <c r="R48" i="32" s="1"/>
  <c r="R46" i="32"/>
  <c r="R45" i="32"/>
  <c r="R44" i="32"/>
  <c r="R43" i="32"/>
  <c r="R42" i="32"/>
  <c r="R41" i="32"/>
  <c r="R40" i="32"/>
  <c r="H39" i="32"/>
  <c r="Q38" i="32"/>
  <c r="P38" i="32"/>
  <c r="P39" i="32" s="1"/>
  <c r="O38" i="32"/>
  <c r="N38" i="32"/>
  <c r="M38" i="32"/>
  <c r="L38" i="32"/>
  <c r="K38" i="32"/>
  <c r="J38" i="32"/>
  <c r="J39" i="32" s="1"/>
  <c r="I38" i="32"/>
  <c r="H38" i="32"/>
  <c r="G38" i="32"/>
  <c r="F38" i="32"/>
  <c r="E38" i="32"/>
  <c r="D38" i="32"/>
  <c r="D39" i="32" s="1"/>
  <c r="R37" i="32"/>
  <c r="R36" i="32"/>
  <c r="R35" i="32"/>
  <c r="R34" i="32"/>
  <c r="R33" i="32"/>
  <c r="R32" i="32"/>
  <c r="R31" i="32"/>
  <c r="Q29" i="32"/>
  <c r="P29" i="32"/>
  <c r="P30" i="32" s="1"/>
  <c r="O29" i="32"/>
  <c r="N29" i="32"/>
  <c r="M29" i="32"/>
  <c r="L29" i="32"/>
  <c r="K29" i="32"/>
  <c r="J29" i="32"/>
  <c r="J30" i="32" s="1"/>
  <c r="I29" i="32"/>
  <c r="H29" i="32"/>
  <c r="H30" i="32" s="1"/>
  <c r="G29" i="32"/>
  <c r="F29" i="32"/>
  <c r="D30" i="32" s="1"/>
  <c r="R30" i="32" s="1"/>
  <c r="E29" i="32"/>
  <c r="D29" i="32"/>
  <c r="R28" i="32"/>
  <c r="R27" i="32"/>
  <c r="R26" i="32"/>
  <c r="R25" i="32"/>
  <c r="R24" i="32"/>
  <c r="V23" i="32"/>
  <c r="S3" i="32" s="1"/>
  <c r="R23" i="32"/>
  <c r="R22" i="32"/>
  <c r="H21" i="32"/>
  <c r="Q20" i="32"/>
  <c r="P20" i="32"/>
  <c r="P21" i="32" s="1"/>
  <c r="O20" i="32"/>
  <c r="N20" i="32"/>
  <c r="M20" i="32"/>
  <c r="L20" i="32"/>
  <c r="K20" i="32"/>
  <c r="J20" i="32"/>
  <c r="J21" i="32" s="1"/>
  <c r="I20" i="32"/>
  <c r="H20" i="32"/>
  <c r="G20" i="32"/>
  <c r="F20" i="32"/>
  <c r="E20" i="32"/>
  <c r="D20" i="32"/>
  <c r="D21" i="32" s="1"/>
  <c r="R19" i="32"/>
  <c r="R18" i="32"/>
  <c r="R17" i="32"/>
  <c r="R16" i="32"/>
  <c r="R15" i="32"/>
  <c r="R14" i="32"/>
  <c r="R13" i="32"/>
  <c r="W11" i="32"/>
  <c r="Q11" i="32"/>
  <c r="P11" i="32"/>
  <c r="P12" i="32" s="1"/>
  <c r="P59" i="32" s="1"/>
  <c r="O11" i="32"/>
  <c r="N11" i="32"/>
  <c r="M11" i="32"/>
  <c r="L11" i="32"/>
  <c r="K11" i="32"/>
  <c r="J11" i="32"/>
  <c r="I11" i="32"/>
  <c r="H11" i="32"/>
  <c r="H12" i="32" s="1"/>
  <c r="H59" i="32" s="1"/>
  <c r="G11" i="32"/>
  <c r="D12" i="32" s="1"/>
  <c r="F11" i="32"/>
  <c r="E11" i="32"/>
  <c r="D11" i="32"/>
  <c r="R10" i="32"/>
  <c r="R9" i="32"/>
  <c r="R8" i="32"/>
  <c r="R7" i="32"/>
  <c r="R6" i="32"/>
  <c r="R5" i="32"/>
  <c r="R4" i="32"/>
  <c r="E2" i="31"/>
  <c r="D2" i="31"/>
  <c r="C2" i="31"/>
  <c r="B2" i="31"/>
  <c r="O15" i="17" a="1"/>
  <c r="O14" i="17" a="1"/>
  <c r="J30" i="36" l="1"/>
  <c r="J59" i="36" s="1"/>
  <c r="AA24" i="36" s="1"/>
  <c r="H21" i="39"/>
  <c r="J21" i="41"/>
  <c r="J59" i="41" s="1"/>
  <c r="AA24" i="41" s="1"/>
  <c r="D21" i="41"/>
  <c r="D59" i="41" s="1"/>
  <c r="AA22" i="41" s="1"/>
  <c r="P59" i="39"/>
  <c r="AA25" i="39" s="1"/>
  <c r="J21" i="39"/>
  <c r="J59" i="39" s="1"/>
  <c r="AA24" i="39" s="1"/>
  <c r="H59" i="39"/>
  <c r="AA23" i="39" s="1"/>
  <c r="H59" i="36"/>
  <c r="AA23" i="36" s="1"/>
  <c r="O15" i="17"/>
  <c r="O14" i="17"/>
  <c r="R21" i="42"/>
  <c r="R39" i="42"/>
  <c r="D59" i="42"/>
  <c r="R12" i="42"/>
  <c r="J59" i="42"/>
  <c r="R30" i="42"/>
  <c r="R12" i="41"/>
  <c r="R21" i="41"/>
  <c r="R12" i="40"/>
  <c r="D59" i="40"/>
  <c r="S12" i="40"/>
  <c r="S21" i="40" s="1"/>
  <c r="S30" i="40" s="1"/>
  <c r="S39" i="40" s="1"/>
  <c r="S48" i="40" s="1"/>
  <c r="S57" i="40" s="1"/>
  <c r="R30" i="40"/>
  <c r="J59" i="40"/>
  <c r="P59" i="40"/>
  <c r="D59" i="39"/>
  <c r="AA22" i="39" s="1"/>
  <c r="R12" i="39"/>
  <c r="S12" i="39"/>
  <c r="R57" i="39"/>
  <c r="R48" i="39"/>
  <c r="R21" i="39"/>
  <c r="R39" i="39"/>
  <c r="D59" i="38"/>
  <c r="R12" i="38"/>
  <c r="S12" i="38"/>
  <c r="S21" i="38" s="1"/>
  <c r="S30" i="38" s="1"/>
  <c r="S39" i="38" s="1"/>
  <c r="S48" i="38" s="1"/>
  <c r="S57" i="38" s="1"/>
  <c r="R57" i="38"/>
  <c r="J59" i="38"/>
  <c r="R21" i="38"/>
  <c r="R39" i="38"/>
  <c r="J59" i="37"/>
  <c r="R21" i="37"/>
  <c r="R39" i="37"/>
  <c r="D59" i="37"/>
  <c r="R12" i="37"/>
  <c r="S12" i="37"/>
  <c r="R30" i="37"/>
  <c r="D59" i="36"/>
  <c r="R12" i="36"/>
  <c r="S12" i="36"/>
  <c r="P59" i="36"/>
  <c r="AA25" i="36" s="1"/>
  <c r="R57" i="36"/>
  <c r="R21" i="36"/>
  <c r="R39" i="36"/>
  <c r="D59" i="35"/>
  <c r="R12" i="35"/>
  <c r="S12" i="35" s="1"/>
  <c r="S21" i="35" s="1"/>
  <c r="S30" i="35" s="1"/>
  <c r="S39" i="35" s="1"/>
  <c r="S48" i="35" s="1"/>
  <c r="R57" i="35"/>
  <c r="J59" i="35"/>
  <c r="R21" i="35"/>
  <c r="R39" i="35"/>
  <c r="J59" i="34"/>
  <c r="R21" i="34"/>
  <c r="R39" i="34"/>
  <c r="D59" i="34"/>
  <c r="R12" i="34"/>
  <c r="S12" i="34"/>
  <c r="S21" i="34" s="1"/>
  <c r="R30" i="34"/>
  <c r="S12" i="33"/>
  <c r="S21" i="33" s="1"/>
  <c r="S30" i="33" s="1"/>
  <c r="S39" i="33" s="1"/>
  <c r="S48" i="33" s="1"/>
  <c r="S57" i="33" s="1"/>
  <c r="J59" i="33"/>
  <c r="D59" i="33"/>
  <c r="R12" i="33"/>
  <c r="J12" i="32"/>
  <c r="R57" i="32"/>
  <c r="D59" i="32"/>
  <c r="R12" i="32"/>
  <c r="S12" i="32" s="1"/>
  <c r="S21" i="32" s="1"/>
  <c r="S30" i="32" s="1"/>
  <c r="S39" i="32" s="1"/>
  <c r="S48" i="32" s="1"/>
  <c r="J59" i="32"/>
  <c r="R21" i="32"/>
  <c r="R39" i="32"/>
  <c r="P57" i="30"/>
  <c r="P48" i="30"/>
  <c r="P39" i="30"/>
  <c r="P30" i="30"/>
  <c r="P21" i="30"/>
  <c r="O11" i="17" a="1"/>
  <c r="O10" i="17" a="1"/>
  <c r="O12" i="17" a="1"/>
  <c r="O13" i="17" a="1"/>
  <c r="R30" i="36" l="1"/>
  <c r="O10" i="17"/>
  <c r="O12" i="17"/>
  <c r="S21" i="39"/>
  <c r="S30" i="39" s="1"/>
  <c r="S39" i="39" s="1"/>
  <c r="S48" i="39" s="1"/>
  <c r="S57" i="39" s="1"/>
  <c r="O13" i="17"/>
  <c r="S21" i="36"/>
  <c r="S30" i="36" s="1"/>
  <c r="S39" i="36" s="1"/>
  <c r="S48" i="36" s="1"/>
  <c r="S57" i="36" s="1"/>
  <c r="O11" i="17"/>
  <c r="R59" i="42"/>
  <c r="Z4" i="42"/>
  <c r="Z6" i="42" s="1"/>
  <c r="S12" i="42"/>
  <c r="S21" i="42" s="1"/>
  <c r="S30" i="42" s="1"/>
  <c r="S39" i="42" s="1"/>
  <c r="S48" i="42" s="1"/>
  <c r="R59" i="41"/>
  <c r="Z4" i="41"/>
  <c r="S12" i="41"/>
  <c r="S21" i="41" s="1"/>
  <c r="S30" i="41" s="1"/>
  <c r="S39" i="41" s="1"/>
  <c r="S48" i="41" s="1"/>
  <c r="U25" i="40"/>
  <c r="Z4" i="40"/>
  <c r="Z6" i="40" s="1"/>
  <c r="R59" i="40"/>
  <c r="R59" i="39"/>
  <c r="Z4" i="39"/>
  <c r="R59" i="38"/>
  <c r="Z4" i="38"/>
  <c r="U25" i="38"/>
  <c r="S21" i="37"/>
  <c r="S30" i="37" s="1"/>
  <c r="S39" i="37" s="1"/>
  <c r="S48" i="37" s="1"/>
  <c r="R59" i="37"/>
  <c r="Z4" i="37"/>
  <c r="R59" i="36"/>
  <c r="Z4" i="36"/>
  <c r="S57" i="35"/>
  <c r="U25" i="35"/>
  <c r="R59" i="35"/>
  <c r="Z4" i="35"/>
  <c r="S30" i="34"/>
  <c r="S39" i="34" s="1"/>
  <c r="S48" i="34" s="1"/>
  <c r="R59" i="34"/>
  <c r="Z4" i="34"/>
  <c r="R59" i="33"/>
  <c r="Z4" i="33"/>
  <c r="U25" i="33"/>
  <c r="S57" i="32"/>
  <c r="U25" i="32"/>
  <c r="R59" i="32"/>
  <c r="Z4" i="32"/>
  <c r="E38" i="30"/>
  <c r="F38" i="30"/>
  <c r="G38" i="30"/>
  <c r="D38" i="30"/>
  <c r="Z6" i="41" l="1"/>
  <c r="L3" i="17" s="1"/>
  <c r="L5" i="17"/>
  <c r="U25" i="39"/>
  <c r="Z6" i="39"/>
  <c r="J3" i="17" s="1"/>
  <c r="J5" i="17"/>
  <c r="U25" i="36"/>
  <c r="Z6" i="38"/>
  <c r="I3" i="17" s="1"/>
  <c r="I5" i="17"/>
  <c r="Z6" i="37"/>
  <c r="H3" i="17" s="1"/>
  <c r="H5" i="17"/>
  <c r="Z6" i="36"/>
  <c r="G3" i="17" s="1"/>
  <c r="G5" i="17"/>
  <c r="Z6" i="35"/>
  <c r="F3" i="17" s="1"/>
  <c r="F5" i="17"/>
  <c r="Z6" i="34"/>
  <c r="E3" i="17" s="1"/>
  <c r="E5" i="17"/>
  <c r="Z6" i="33"/>
  <c r="D3" i="17" s="1"/>
  <c r="D5" i="17"/>
  <c r="S57" i="42"/>
  <c r="U25" i="42"/>
  <c r="S57" i="41"/>
  <c r="U25" i="41"/>
  <c r="S57" i="37"/>
  <c r="U25" i="37"/>
  <c r="S57" i="34"/>
  <c r="U25" i="34"/>
  <c r="Z6" i="32"/>
  <c r="C3" i="17" s="1"/>
  <c r="C5" i="17"/>
  <c r="D39" i="30"/>
  <c r="W11" i="30"/>
  <c r="V23" i="30" s="1"/>
  <c r="Q56" i="30" l="1"/>
  <c r="P56" i="30"/>
  <c r="O56" i="30"/>
  <c r="N56" i="30"/>
  <c r="M56" i="30"/>
  <c r="L56" i="30"/>
  <c r="K56" i="30"/>
  <c r="J56" i="30"/>
  <c r="I56" i="30"/>
  <c r="H56" i="30"/>
  <c r="G56" i="30"/>
  <c r="F56" i="30"/>
  <c r="E56" i="30"/>
  <c r="D56" i="30"/>
  <c r="R55" i="30"/>
  <c r="R54" i="30"/>
  <c r="R53" i="30"/>
  <c r="R52" i="30"/>
  <c r="R51" i="30"/>
  <c r="R50" i="30"/>
  <c r="R49" i="30"/>
  <c r="Q47" i="30"/>
  <c r="P47" i="30"/>
  <c r="O47" i="30"/>
  <c r="N47" i="30"/>
  <c r="M47" i="30"/>
  <c r="L47" i="30"/>
  <c r="K47" i="30"/>
  <c r="J47" i="30"/>
  <c r="H47" i="30"/>
  <c r="G47" i="30"/>
  <c r="F47" i="30"/>
  <c r="E47" i="30"/>
  <c r="D47" i="30"/>
  <c r="R46" i="30"/>
  <c r="R45" i="30"/>
  <c r="R44" i="30"/>
  <c r="R43" i="30"/>
  <c r="R42" i="30"/>
  <c r="R41" i="30"/>
  <c r="R40" i="30"/>
  <c r="Q38" i="30"/>
  <c r="P38" i="30"/>
  <c r="O38" i="30"/>
  <c r="N38" i="30"/>
  <c r="L38" i="30"/>
  <c r="K38" i="30"/>
  <c r="J38" i="30"/>
  <c r="I38" i="30"/>
  <c r="H38" i="30"/>
  <c r="R37" i="30"/>
  <c r="R36" i="30"/>
  <c r="R35" i="30"/>
  <c r="R34" i="30"/>
  <c r="R33" i="30"/>
  <c r="R32" i="30"/>
  <c r="R31" i="30"/>
  <c r="Q29" i="30"/>
  <c r="P29" i="30"/>
  <c r="O29" i="30"/>
  <c r="N29" i="30"/>
  <c r="L29" i="30"/>
  <c r="K29" i="30"/>
  <c r="J29" i="30"/>
  <c r="I29" i="30"/>
  <c r="H29" i="30"/>
  <c r="G29" i="30"/>
  <c r="F29" i="30"/>
  <c r="E29" i="30"/>
  <c r="D29" i="30"/>
  <c r="R28" i="30"/>
  <c r="R27" i="30"/>
  <c r="M29" i="30"/>
  <c r="R26" i="30"/>
  <c r="R25" i="30"/>
  <c r="R24" i="30"/>
  <c r="R23" i="30"/>
  <c r="R22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R19" i="30"/>
  <c r="R18" i="30"/>
  <c r="R17" i="30"/>
  <c r="R16" i="30"/>
  <c r="R15" i="30"/>
  <c r="R14" i="30"/>
  <c r="D20" i="30"/>
  <c r="S3" i="30"/>
  <c r="Q11" i="30"/>
  <c r="P11" i="30"/>
  <c r="P12" i="30" s="1"/>
  <c r="P59" i="30" s="1"/>
  <c r="AA25" i="30" s="1"/>
  <c r="O11" i="30"/>
  <c r="N11" i="30"/>
  <c r="M11" i="30"/>
  <c r="L11" i="30"/>
  <c r="K11" i="30"/>
  <c r="J11" i="30"/>
  <c r="I11" i="30"/>
  <c r="H11" i="30"/>
  <c r="G11" i="30"/>
  <c r="F11" i="30"/>
  <c r="E11" i="30"/>
  <c r="D11" i="30"/>
  <c r="R10" i="30"/>
  <c r="R9" i="30"/>
  <c r="R8" i="30"/>
  <c r="R7" i="30"/>
  <c r="R6" i="30"/>
  <c r="R5" i="30"/>
  <c r="R4" i="30"/>
  <c r="H21" i="30" l="1"/>
  <c r="H30" i="30"/>
  <c r="H57" i="30"/>
  <c r="R57" i="30" s="1"/>
  <c r="D57" i="30"/>
  <c r="J57" i="30"/>
  <c r="D12" i="30"/>
  <c r="H12" i="30"/>
  <c r="D21" i="30"/>
  <c r="D48" i="30"/>
  <c r="J48" i="30"/>
  <c r="J30" i="30"/>
  <c r="D30" i="30"/>
  <c r="H39" i="30"/>
  <c r="J12" i="30"/>
  <c r="J21" i="30"/>
  <c r="M38" i="30"/>
  <c r="J39" i="30" s="1"/>
  <c r="I47" i="30"/>
  <c r="H48" i="30" s="1"/>
  <c r="R13" i="30"/>
  <c r="H59" i="30" l="1"/>
  <c r="AA23" i="30" s="1"/>
  <c r="J59" i="30"/>
  <c r="AA24" i="30" s="1"/>
  <c r="D59" i="30"/>
  <c r="AA22" i="30" s="1"/>
  <c r="R30" i="30"/>
  <c r="R12" i="30"/>
  <c r="R59" i="30" s="1"/>
  <c r="R39" i="30"/>
  <c r="R21" i="30"/>
  <c r="R48" i="30"/>
  <c r="S12" i="30" l="1"/>
  <c r="S21" i="30" s="1"/>
  <c r="S30" i="30" s="1"/>
  <c r="S39" i="30" s="1"/>
  <c r="S48" i="30" s="1"/>
  <c r="S57" i="30" s="1"/>
  <c r="Z4" i="30"/>
  <c r="B5" i="17" s="1"/>
  <c r="Z6" i="30" l="1"/>
  <c r="B3" i="17" s="1"/>
  <c r="B4" i="17" s="1"/>
  <c r="C4" i="17" s="1"/>
  <c r="D4" i="17" s="1"/>
  <c r="E4" i="17" s="1"/>
  <c r="F4" i="17" s="1"/>
  <c r="G4" i="17" s="1"/>
  <c r="H4" i="17" s="1"/>
  <c r="I4" i="17" s="1"/>
  <c r="J4" i="17" s="1"/>
  <c r="K4" i="17" s="1"/>
  <c r="L4" i="17" s="1"/>
  <c r="M4" i="17" s="1"/>
  <c r="U25" i="3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<sst xmlns="http://schemas.openxmlformats.org/spreadsheetml/2006/main" count="1423" uniqueCount="85">
  <si>
    <t>Altro</t>
  </si>
  <si>
    <t>lun</t>
  </si>
  <si>
    <t>mar</t>
  </si>
  <si>
    <t>mer</t>
  </si>
  <si>
    <t>gio</t>
  </si>
  <si>
    <t>ven</t>
  </si>
  <si>
    <t>sab</t>
  </si>
  <si>
    <t>dom</t>
  </si>
  <si>
    <t>Extra e imprevisti</t>
  </si>
  <si>
    <t>Settimana 1</t>
  </si>
  <si>
    <t>Regali</t>
  </si>
  <si>
    <t>Ristoranti</t>
  </si>
  <si>
    <t>Viaggi</t>
  </si>
  <si>
    <t>TOTALE</t>
  </si>
  <si>
    <t>Settimana 2</t>
  </si>
  <si>
    <t>Settimana 3</t>
  </si>
  <si>
    <t>Settimana 4</t>
  </si>
  <si>
    <t>Budget Iniziale</t>
  </si>
  <si>
    <t>Entrate</t>
  </si>
  <si>
    <t>Uscite</t>
  </si>
  <si>
    <t>Affitto</t>
  </si>
  <si>
    <t>Parziale Sett. 1</t>
  </si>
  <si>
    <t>Parziale Sett. 2</t>
  </si>
  <si>
    <t>Parziale Sett. 3</t>
  </si>
  <si>
    <t>Parziale Sett. 4</t>
  </si>
  <si>
    <t>TOTALE GIORNALIERO</t>
  </si>
  <si>
    <t>Extra</t>
  </si>
  <si>
    <t>Stipendio</t>
  </si>
  <si>
    <t>Parziale Sett. 5</t>
  </si>
  <si>
    <t>Settimana 5</t>
  </si>
  <si>
    <t>Settimana 6</t>
  </si>
  <si>
    <t>Cumulato</t>
  </si>
  <si>
    <t>Mensile</t>
  </si>
  <si>
    <t>dd/mm/yyyy</t>
  </si>
  <si>
    <t>Spesa Mensile</t>
  </si>
  <si>
    <t>Bollette: Acqua</t>
  </si>
  <si>
    <t>Bollette: Luce</t>
  </si>
  <si>
    <t>Bollette: Gas</t>
  </si>
  <si>
    <t>Bollette: Internet</t>
  </si>
  <si>
    <t>Parziale Sett. 6</t>
  </si>
  <si>
    <t>SPESA TOTALE MENSILE</t>
  </si>
  <si>
    <t>Gennaio 2021</t>
  </si>
  <si>
    <t>RISPARMIO MENSILE</t>
  </si>
  <si>
    <t>Febbraio 2021</t>
  </si>
  <si>
    <t>NECESSITÀ</t>
  </si>
  <si>
    <t>TRASPORTI</t>
  </si>
  <si>
    <t>Auto</t>
  </si>
  <si>
    <t>Mezzi</t>
  </si>
  <si>
    <t>TEMPO LIBERO</t>
  </si>
  <si>
    <t>Spesa Cibo</t>
  </si>
  <si>
    <t>Bar/Pub</t>
  </si>
  <si>
    <t>Cultura</t>
  </si>
  <si>
    <t>Salute</t>
  </si>
  <si>
    <t>EXTRA</t>
  </si>
  <si>
    <t>Bere</t>
  </si>
  <si>
    <t>TOTALE MENSILE</t>
  </si>
  <si>
    <t>TOTALE SETTIMANA</t>
  </si>
  <si>
    <t>ACQUA</t>
  </si>
  <si>
    <t xml:space="preserve">GAS </t>
  </si>
  <si>
    <t>INTERNET</t>
  </si>
  <si>
    <t>LUCE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</si>
  <si>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</si>
  <si>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</si>
  <si>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</si>
  <si>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</si>
  <si>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</si>
  <si>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</si>
  <si>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</si>
  <si>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</si>
  <si>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</si>
  <si>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</si>
  <si>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</si>
  <si>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</si>
  <si>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Marzo 2021</t>
  </si>
  <si>
    <t>Aprile 2021</t>
  </si>
  <si>
    <t>Maggio 2021</t>
  </si>
  <si>
    <t>Giugno 2021</t>
  </si>
  <si>
    <t>Luglio 2021</t>
  </si>
  <si>
    <t>Agosto 2021</t>
  </si>
  <si>
    <t>Settembre 2021</t>
  </si>
  <si>
    <t>Ottobre 2021</t>
  </si>
  <si>
    <t>Novembre 2021</t>
  </si>
  <si>
    <t>Dicembre 2021</t>
  </si>
  <si>
    <t>AFFITTO</t>
  </si>
  <si>
    <t>BOLLETTE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</si>
</sst>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€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8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/>
    </xf>
    <xf numFmtId="0" fontId="0" fillId="2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0" borderId="10" xfId="0" applyBorder="1"/>
    <xf numFmtId="0" fontId="0" fillId="2" borderId="8" xfId="0" applyFill="1" applyBorder="1" applyAlignment="1">
      <alignment horizontal="center" vertical="center" wrapText="1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5" borderId="8" xfId="0" applyFill="1" applyBorder="1"/>
    <xf numFmtId="0" fontId="1" fillId="0" borderId="4" xfId="0" applyFont="1" applyBorder="1" applyAlignment="1">
      <alignment horizontal="center"/>
    </xf>
    <xf numFmtId="0" fontId="0" fillId="5" borderId="9" xfId="0" applyFill="1" applyBorder="1"/>
    <xf numFmtId="0" fontId="1" fillId="0" borderId="16" xfId="0" applyFont="1" applyBorder="1"/>
    <xf numFmtId="0" fontId="0" fillId="0" borderId="18" xfId="0" applyBorder="1"/>
    <xf numFmtId="0" fontId="0" fillId="0" borderId="19" xfId="0" applyBorder="1"/>
    <xf numFmtId="0" fontId="1" fillId="0" borderId="0" xfId="0" applyFont="1" applyAlignment="1">
      <alignment vertical="center" textRotation="90"/>
    </xf>
    <xf numFmtId="0" fontId="3" fillId="0" borderId="0" xfId="0" applyFont="1"/>
    <xf numFmtId="0" fontId="1" fillId="0" borderId="20" xfId="0" applyFont="1" applyBorder="1"/>
    <xf numFmtId="0" fontId="1" fillId="0" borderId="19" xfId="0" applyFont="1" applyBorder="1" applyAlignment="1">
      <alignment horizontal="right"/>
    </xf>
    <xf numFmtId="0" fontId="0" fillId="0" borderId="21" xfId="0" applyBorder="1"/>
    <xf numFmtId="0" fontId="0" fillId="0" borderId="22" xfId="0" applyBorder="1"/>
    <xf numFmtId="0" fontId="0" fillId="2" borderId="8" xfId="0" applyFill="1" applyBorder="1" applyAlignment="1">
      <alignment horizontal="right" vertical="center" wrapText="1"/>
    </xf>
    <xf numFmtId="0" fontId="0" fillId="2" borderId="1" xfId="0" applyFill="1" applyBorder="1" applyAlignment="1">
      <alignment horizontal="right" vertical="center" wrapText="1"/>
    </xf>
    <xf numFmtId="0" fontId="0" fillId="3" borderId="1" xfId="0" applyFill="1" applyBorder="1" applyAlignment="1">
      <alignment horizontal="right" vertical="center" wrapText="1"/>
    </xf>
    <xf numFmtId="0" fontId="0" fillId="4" borderId="1" xfId="0" applyFill="1" applyBorder="1" applyAlignment="1">
      <alignment horizontal="right" vertical="center" wrapText="1"/>
    </xf>
    <xf numFmtId="0" fontId="0" fillId="2" borderId="1" xfId="0" applyFill="1" applyBorder="1" applyAlignment="1">
      <alignment horizontal="right"/>
    </xf>
    <xf numFmtId="0" fontId="0" fillId="5" borderId="1" xfId="0" applyFill="1" applyBorder="1" applyAlignment="1">
      <alignment horizontal="right" vertical="center" wrapText="1"/>
    </xf>
    <xf numFmtId="17" fontId="0" fillId="0" borderId="0" xfId="0" quotePrefix="1" applyNumberFormat="1"/>
    <xf numFmtId="0" fontId="0" fillId="0" borderId="0" xfId="0" quotePrefix="1"/>
    <xf numFmtId="0" fontId="1" fillId="0" borderId="0" xfId="0" applyFont="1" applyAlignment="1">
      <alignment horizontal="center" vertical="center" textRotation="90"/>
    </xf>
    <xf numFmtId="0" fontId="2" fillId="0" borderId="0" xfId="0" applyFont="1" applyAlignment="1">
      <alignment horizontal="center"/>
    </xf>
    <xf numFmtId="0" fontId="0" fillId="0" borderId="20" xfId="0" applyBorder="1"/>
    <xf numFmtId="0" fontId="0" fillId="0" borderId="17" xfId="0" applyBorder="1" applyAlignment="1">
      <alignment horizontal="center"/>
    </xf>
    <xf numFmtId="0" fontId="0" fillId="0" borderId="7" xfId="0" applyBorder="1" applyAlignment="1">
      <alignment horizontal="center"/>
    </xf>
    <xf numFmtId="0" fontId="5" fillId="0" borderId="0" xfId="0" applyFont="1"/>
    <xf numFmtId="0" fontId="1" fillId="0" borderId="3" xfId="0" applyFont="1" applyBorder="1"/>
    <xf numFmtId="0" fontId="1" fillId="0" borderId="0" xfId="0" applyFont="1" applyAlignment="1">
      <alignment horizontal="center" vertical="center" textRotation="90"/>
    </xf>
    <xf numFmtId="0" fontId="2" fillId="0" borderId="0" xfId="0" applyFont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164" fontId="0" fillId="0" borderId="0" xfId="0" applyNumberFormat="1"/>
    <xf numFmtId="0" fontId="0" fillId="2" borderId="8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1" fillId="0" borderId="0" xfId="0" applyFont="1" applyAlignment="1">
      <alignment horizontal="center" vertical="center" textRotation="90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" fillId="0" borderId="0" xfId="0" quotePrefix="1" applyFont="1" applyAlignment="1">
      <alignment horizontal="center"/>
    </xf>
    <xf numFmtId="0" fontId="2" fillId="0" borderId="0" xfId="0" applyFont="1" applyAlignment="1">
      <alignment horizontal="center"/>
    </xf>
    <xf numFmtId="0" fontId="1" fillId="2" borderId="14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horizontal="center" vertical="center" wrapText="1"/>
    </xf>
  </cellXfs>
  <cellStyles count="1">
    <cellStyle name="Normale" xfId="0" builtinId="0"/>
  </cellStyles>
  <dxfs count="48">
    <dxf>
      <font>
        <b/>
        <i val="0"/>
        <color theme="0"/>
      </font>
      <fill>
        <patternFill>
          <fgColor auto="1"/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62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auto="1"/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62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auto="1"/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62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auto="1"/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62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auto="1"/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62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auto="1"/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62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auto="1"/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62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auto="1"/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62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auto="1"/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62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auto="1"/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62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auto="1"/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62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auto="1"/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620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66"/>
      <color rgb="FF66FF66"/>
      <color rgb="FFE60000"/>
      <color rgb="FFFF62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1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'Gennaio 2021'!$S$48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17-436D-9731-04B6346507EA}"/>
            </c:ext>
          </c:extLst>
        </c:ser>
        <c:ser>
          <c:idx val="0"/>
          <c:order val="1"/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'Gennaio 2021'!$U$25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17-436D-9731-04B6346507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521384479"/>
        <c:axId val="1522797455"/>
      </c:barChart>
      <c:catAx>
        <c:axId val="15213844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1522797455"/>
        <c:crosses val="autoZero"/>
        <c:auto val="1"/>
        <c:lblAlgn val="ctr"/>
        <c:lblOffset val="100"/>
        <c:noMultiLvlLbl val="0"/>
      </c:catAx>
      <c:valAx>
        <c:axId val="1522797455"/>
        <c:scaling>
          <c:orientation val="minMax"/>
          <c:min val="-0.2"/>
        </c:scaling>
        <c:delete val="1"/>
        <c:axPos val="l"/>
        <c:numFmt formatCode="0%" sourceLinked="1"/>
        <c:majorTickMark val="none"/>
        <c:minorTickMark val="none"/>
        <c:tickLblPos val="nextTo"/>
        <c:crossAx val="152138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3400" baseline="0">
                <a:solidFill>
                  <a:schemeClr val="tx1"/>
                </a:solidFill>
              </a:rPr>
              <a:t>RIPARTIZIONE SPESE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F7B-426D-99F1-7DACA121400C}"/>
              </c:ext>
            </c:extLst>
          </c:dPt>
          <c:dPt>
            <c:idx val="1"/>
            <c:bubble3D val="0"/>
            <c:spPr>
              <a:solidFill>
                <a:srgbClr val="66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F7B-426D-99F1-7DACA121400C}"/>
              </c:ext>
            </c:extLst>
          </c:dPt>
          <c:dPt>
            <c:idx val="2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F7B-426D-99F1-7DACA121400C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EF7B-426D-99F1-7DACA121400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FC8-484F-AC3B-2288A9F8B99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FC8-484F-AC3B-2288A9F8B99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'Gennaio 2021'!$Z$22:$Z$27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cat>
          <c:val>
            <c:numRef>
              <c:f>'Gennaio 2021'!$AA$22:$AA$27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7B-426D-99F1-7DACA1214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1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'Febbraio 2021'!$S$48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6A-47A2-BBF3-144672E403F5}"/>
            </c:ext>
          </c:extLst>
        </c:ser>
        <c:ser>
          <c:idx val="0"/>
          <c:order val="1"/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'Febbraio 2021'!$U$25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6A-47A2-BBF3-144672E403F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521384479"/>
        <c:axId val="1522797455"/>
      </c:barChart>
      <c:catAx>
        <c:axId val="15213844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1522797455"/>
        <c:crosses val="autoZero"/>
        <c:auto val="1"/>
        <c:lblAlgn val="ctr"/>
        <c:lblOffset val="100"/>
        <c:noMultiLvlLbl val="0"/>
      </c:catAx>
      <c:valAx>
        <c:axId val="1522797455"/>
        <c:scaling>
          <c:orientation val="minMax"/>
          <c:min val="-0.2"/>
        </c:scaling>
        <c:delete val="1"/>
        <c:axPos val="l"/>
        <c:numFmt formatCode="0%" sourceLinked="1"/>
        <c:majorTickMark val="none"/>
        <c:minorTickMark val="none"/>
        <c:tickLblPos val="nextTo"/>
        <c:crossAx val="152138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3400" baseline="0">
                <a:solidFill>
                  <a:schemeClr val="tx1"/>
                </a:solidFill>
              </a:rPr>
              <a:t>RIPARTIZIONE SPESE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A6-4686-BBB1-E4F78C2EA4B1}"/>
              </c:ext>
            </c:extLst>
          </c:dPt>
          <c:dPt>
            <c:idx val="1"/>
            <c:bubble3D val="0"/>
            <c:spPr>
              <a:solidFill>
                <a:srgbClr val="66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A6-4686-BBB1-E4F78C2EA4B1}"/>
              </c:ext>
            </c:extLst>
          </c:dPt>
          <c:dPt>
            <c:idx val="2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6A6-4686-BBB1-E4F78C2EA4B1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6A6-4686-BBB1-E4F78C2EA4B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BEC-493A-A25B-047B1569CB5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BEC-493A-A25B-047B1569CB5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'Febbraio 2021'!$Z$22:$Z$27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cat>
          <c:val>
            <c:numRef>
              <c:f>'Febbraio 2021'!$AA$22:$AA$27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6A6-4686-BBB1-E4F78C2EA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1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'Marzo 2021'!$S$48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25-4C73-920E-32B4B47F8731}"/>
            </c:ext>
          </c:extLst>
        </c:ser>
        <c:ser>
          <c:idx val="0"/>
          <c:order val="1"/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'Marzo 2021'!$U$25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25-4C73-920E-32B4B47F873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521384479"/>
        <c:axId val="1522797455"/>
      </c:barChart>
      <c:catAx>
        <c:axId val="15213844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1522797455"/>
        <c:crosses val="autoZero"/>
        <c:auto val="1"/>
        <c:lblAlgn val="ctr"/>
        <c:lblOffset val="100"/>
        <c:noMultiLvlLbl val="0"/>
      </c:catAx>
      <c:valAx>
        <c:axId val="1522797455"/>
        <c:scaling>
          <c:orientation val="minMax"/>
          <c:min val="-0.2"/>
        </c:scaling>
        <c:delete val="1"/>
        <c:axPos val="l"/>
        <c:numFmt formatCode="0%" sourceLinked="1"/>
        <c:majorTickMark val="none"/>
        <c:minorTickMark val="none"/>
        <c:tickLblPos val="nextTo"/>
        <c:crossAx val="152138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3400" baseline="0">
                <a:solidFill>
                  <a:schemeClr val="tx1"/>
                </a:solidFill>
              </a:rPr>
              <a:t>RIPARTIZIONE SPESE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202-4A49-ABBD-DBB8516774E2}"/>
              </c:ext>
            </c:extLst>
          </c:dPt>
          <c:dPt>
            <c:idx val="1"/>
            <c:bubble3D val="0"/>
            <c:spPr>
              <a:solidFill>
                <a:srgbClr val="66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202-4A49-ABBD-DBB8516774E2}"/>
              </c:ext>
            </c:extLst>
          </c:dPt>
          <c:dPt>
            <c:idx val="2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202-4A49-ABBD-DBB8516774E2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202-4A49-ABBD-DBB8516774E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D0E-4220-8B1C-5BCDC58C3A9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D0E-4220-8B1C-5BCDC58C3A9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'Marzo 2021'!$Z$22:$Z$27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cat>
          <c:val>
            <c:numRef>
              <c:f>'Marzo 2021'!$AA$22:$AA$27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02-4A49-ABBD-DBB851677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1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'Aprile 2021'!$S$48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5A-4B94-952F-05A9274F698A}"/>
            </c:ext>
          </c:extLst>
        </c:ser>
        <c:ser>
          <c:idx val="0"/>
          <c:order val="1"/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'Aprile 2021'!$U$25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5A-4B94-952F-05A9274F698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521384479"/>
        <c:axId val="1522797455"/>
      </c:barChart>
      <c:catAx>
        <c:axId val="15213844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1522797455"/>
        <c:crosses val="autoZero"/>
        <c:auto val="1"/>
        <c:lblAlgn val="ctr"/>
        <c:lblOffset val="100"/>
        <c:noMultiLvlLbl val="0"/>
      </c:catAx>
      <c:valAx>
        <c:axId val="1522797455"/>
        <c:scaling>
          <c:orientation val="minMax"/>
          <c:min val="-0.2"/>
        </c:scaling>
        <c:delete val="1"/>
        <c:axPos val="l"/>
        <c:numFmt formatCode="0%" sourceLinked="1"/>
        <c:majorTickMark val="none"/>
        <c:minorTickMark val="none"/>
        <c:tickLblPos val="nextTo"/>
        <c:crossAx val="152138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3400" baseline="0">
                <a:solidFill>
                  <a:schemeClr val="tx1"/>
                </a:solidFill>
              </a:rPr>
              <a:t>RIPARTIZIONE SPESE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3A9-4908-BC69-3D34C7013603}"/>
              </c:ext>
            </c:extLst>
          </c:dPt>
          <c:dPt>
            <c:idx val="1"/>
            <c:bubble3D val="0"/>
            <c:spPr>
              <a:solidFill>
                <a:srgbClr val="66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3A9-4908-BC69-3D34C7013603}"/>
              </c:ext>
            </c:extLst>
          </c:dPt>
          <c:dPt>
            <c:idx val="2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3A9-4908-BC69-3D34C7013603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3A9-4908-BC69-3D34C701360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8C4-4038-BF88-9A9033D5C6F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8C4-4038-BF88-9A9033D5C6F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'Aprile 2021'!$Z$22:$Z$27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cat>
          <c:val>
            <c:numRef>
              <c:f>'Aprile 2021'!$AA$22:$AA$27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3A9-4908-BC69-3D34C7013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1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'Maggio 2021'!$S$48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1A-4A8F-8B0B-E96A37DCE1FE}"/>
            </c:ext>
          </c:extLst>
        </c:ser>
        <c:ser>
          <c:idx val="0"/>
          <c:order val="1"/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'Maggio 2021'!$U$25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1A-4A8F-8B0B-E96A37DCE1F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521384479"/>
        <c:axId val="1522797455"/>
      </c:barChart>
      <c:catAx>
        <c:axId val="15213844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1522797455"/>
        <c:crosses val="autoZero"/>
        <c:auto val="1"/>
        <c:lblAlgn val="ctr"/>
        <c:lblOffset val="100"/>
        <c:noMultiLvlLbl val="0"/>
      </c:catAx>
      <c:valAx>
        <c:axId val="1522797455"/>
        <c:scaling>
          <c:orientation val="minMax"/>
          <c:min val="-0.2"/>
        </c:scaling>
        <c:delete val="1"/>
        <c:axPos val="l"/>
        <c:numFmt formatCode="0%" sourceLinked="1"/>
        <c:majorTickMark val="none"/>
        <c:minorTickMark val="none"/>
        <c:tickLblPos val="nextTo"/>
        <c:crossAx val="152138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3400" baseline="0">
                <a:solidFill>
                  <a:schemeClr val="tx1"/>
                </a:solidFill>
              </a:rPr>
              <a:t>RIPARTIZIONE SPESE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75B-4239-9A6A-D439247596A6}"/>
              </c:ext>
            </c:extLst>
          </c:dPt>
          <c:dPt>
            <c:idx val="1"/>
            <c:bubble3D val="0"/>
            <c:spPr>
              <a:solidFill>
                <a:srgbClr val="66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75B-4239-9A6A-D439247596A6}"/>
              </c:ext>
            </c:extLst>
          </c:dPt>
          <c:dPt>
            <c:idx val="2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75B-4239-9A6A-D439247596A6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75B-4239-9A6A-D439247596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AAD-4304-B28F-31B3581CD31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AAD-4304-B28F-31B3581CD3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'Maggio 2021'!$Z$22:$Z$27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cat>
          <c:val>
            <c:numRef>
              <c:f>'Maggio 2021'!$AA$22:$AA$27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5B-4239-9A6A-D43924759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1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'Giugno 2021'!$S$48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1E-4B78-BC4A-41A3A9B9DBFC}"/>
            </c:ext>
          </c:extLst>
        </c:ser>
        <c:ser>
          <c:idx val="0"/>
          <c:order val="1"/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'Giugno 2021'!$U$25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1E-4B78-BC4A-41A3A9B9DBF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521384479"/>
        <c:axId val="1522797455"/>
      </c:barChart>
      <c:catAx>
        <c:axId val="15213844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1522797455"/>
        <c:crosses val="autoZero"/>
        <c:auto val="1"/>
        <c:lblAlgn val="ctr"/>
        <c:lblOffset val="100"/>
        <c:noMultiLvlLbl val="0"/>
      </c:catAx>
      <c:valAx>
        <c:axId val="1522797455"/>
        <c:scaling>
          <c:orientation val="minMax"/>
          <c:min val="-0.2"/>
        </c:scaling>
        <c:delete val="1"/>
        <c:axPos val="l"/>
        <c:numFmt formatCode="0%" sourceLinked="1"/>
        <c:majorTickMark val="none"/>
        <c:minorTickMark val="none"/>
        <c:tickLblPos val="nextTo"/>
        <c:crossAx val="152138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3400" baseline="0">
                <a:solidFill>
                  <a:schemeClr val="tx1"/>
                </a:solidFill>
              </a:rPr>
              <a:t>RIPARTIZIONE SPESE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52E-443B-9108-CD7386DEDDB5}"/>
              </c:ext>
            </c:extLst>
          </c:dPt>
          <c:dPt>
            <c:idx val="1"/>
            <c:bubble3D val="0"/>
            <c:spPr>
              <a:solidFill>
                <a:srgbClr val="66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52E-443B-9108-CD7386DEDDB5}"/>
              </c:ext>
            </c:extLst>
          </c:dPt>
          <c:dPt>
            <c:idx val="2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52E-443B-9108-CD7386DEDDB5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52E-443B-9108-CD7386DEDDB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CD1-4BAA-BC06-BA4DF9CD729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CD1-4BAA-BC06-BA4DF9CD729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'Giugno 2021'!$Z$22:$Z$27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cat>
          <c:val>
            <c:numRef>
              <c:f>'Giugno 2021'!$AA$22:$AA$27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2E-443B-9108-CD7386DED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1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'Luglio 2021'!$S$48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99-4551-A1C3-468194BC0ED6}"/>
            </c:ext>
          </c:extLst>
        </c:ser>
        <c:ser>
          <c:idx val="0"/>
          <c:order val="1"/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'Luglio 2021'!$U$25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99-4551-A1C3-468194BC0ED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521384479"/>
        <c:axId val="1522797455"/>
      </c:barChart>
      <c:catAx>
        <c:axId val="15213844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1522797455"/>
        <c:crosses val="autoZero"/>
        <c:auto val="1"/>
        <c:lblAlgn val="ctr"/>
        <c:lblOffset val="100"/>
        <c:noMultiLvlLbl val="0"/>
      </c:catAx>
      <c:valAx>
        <c:axId val="1522797455"/>
        <c:scaling>
          <c:orientation val="minMax"/>
          <c:min val="-0.2"/>
        </c:scaling>
        <c:delete val="1"/>
        <c:axPos val="l"/>
        <c:numFmt formatCode="0%" sourceLinked="1"/>
        <c:majorTickMark val="none"/>
        <c:minorTickMark val="none"/>
        <c:tickLblPos val="nextTo"/>
        <c:crossAx val="152138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3400" baseline="0">
                <a:solidFill>
                  <a:schemeClr val="tx1"/>
                </a:solidFill>
              </a:rPr>
              <a:t>RIPARTIZIONE SPESE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229-43D0-8DE7-40A0D6A1A482}"/>
              </c:ext>
            </c:extLst>
          </c:dPt>
          <c:dPt>
            <c:idx val="1"/>
            <c:bubble3D val="0"/>
            <c:spPr>
              <a:solidFill>
                <a:srgbClr val="66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229-43D0-8DE7-40A0D6A1A482}"/>
              </c:ext>
            </c:extLst>
          </c:dPt>
          <c:dPt>
            <c:idx val="2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229-43D0-8DE7-40A0D6A1A482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229-43D0-8DE7-40A0D6A1A48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5B2-4B81-B082-71DE344178C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5B2-4B81-B082-71DE344178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'Luglio 2021'!$Z$22:$Z$27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cat>
          <c:val>
            <c:numRef>
              <c:f>'Luglio 2021'!$AA$22:$AA$27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29-43D0-8DE7-40A0D6A1A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1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'Agosto 2021'!$S$48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F7-458B-854B-4BC2B7545D54}"/>
            </c:ext>
          </c:extLst>
        </c:ser>
        <c:ser>
          <c:idx val="0"/>
          <c:order val="1"/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'Agosto 2021'!$U$25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F7-458B-854B-4BC2B7545D5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521384479"/>
        <c:axId val="1522797455"/>
      </c:barChart>
      <c:catAx>
        <c:axId val="15213844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1522797455"/>
        <c:crosses val="autoZero"/>
        <c:auto val="1"/>
        <c:lblAlgn val="ctr"/>
        <c:lblOffset val="100"/>
        <c:noMultiLvlLbl val="0"/>
      </c:catAx>
      <c:valAx>
        <c:axId val="1522797455"/>
        <c:scaling>
          <c:orientation val="minMax"/>
          <c:min val="-0.2"/>
        </c:scaling>
        <c:delete val="1"/>
        <c:axPos val="l"/>
        <c:numFmt formatCode="0%" sourceLinked="1"/>
        <c:majorTickMark val="none"/>
        <c:minorTickMark val="none"/>
        <c:tickLblPos val="nextTo"/>
        <c:crossAx val="152138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3400" baseline="0">
                <a:solidFill>
                  <a:schemeClr val="tx1"/>
                </a:solidFill>
              </a:rPr>
              <a:t>RIPARTIZIONE SPESE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176-4147-A103-56F7FD6FC2B2}"/>
              </c:ext>
            </c:extLst>
          </c:dPt>
          <c:dPt>
            <c:idx val="1"/>
            <c:bubble3D val="0"/>
            <c:spPr>
              <a:solidFill>
                <a:srgbClr val="66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176-4147-A103-56F7FD6FC2B2}"/>
              </c:ext>
            </c:extLst>
          </c:dPt>
          <c:dPt>
            <c:idx val="2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176-4147-A103-56F7FD6FC2B2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176-4147-A103-56F7FD6FC2B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C82-45AB-B314-CE1D78F5AE2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C82-45AB-B314-CE1D78F5AE2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'Agosto 2021'!$Z$22:$Z$27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cat>
          <c:val>
            <c:numRef>
              <c:f>'Agosto 2021'!$AA$22:$AA$27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76-4147-A103-56F7FD6FC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1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'Settembre 2021'!$S$48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76-4E17-88FA-34BC049965B0}"/>
            </c:ext>
          </c:extLst>
        </c:ser>
        <c:ser>
          <c:idx val="0"/>
          <c:order val="1"/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'Settembre 2021'!$U$25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76-4E17-88FA-34BC049965B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521384479"/>
        <c:axId val="1522797455"/>
      </c:barChart>
      <c:catAx>
        <c:axId val="15213844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1522797455"/>
        <c:crosses val="autoZero"/>
        <c:auto val="1"/>
        <c:lblAlgn val="ctr"/>
        <c:lblOffset val="100"/>
        <c:noMultiLvlLbl val="0"/>
      </c:catAx>
      <c:valAx>
        <c:axId val="1522797455"/>
        <c:scaling>
          <c:orientation val="minMax"/>
          <c:min val="-0.2"/>
        </c:scaling>
        <c:delete val="1"/>
        <c:axPos val="l"/>
        <c:numFmt formatCode="0%" sourceLinked="1"/>
        <c:majorTickMark val="none"/>
        <c:minorTickMark val="none"/>
        <c:tickLblPos val="nextTo"/>
        <c:crossAx val="152138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3400" baseline="0">
                <a:solidFill>
                  <a:schemeClr val="tx1"/>
                </a:solidFill>
              </a:rPr>
              <a:t>RIPARTIZIONE SPESE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B46-4D88-8CE9-DE0E48FF4FB2}"/>
              </c:ext>
            </c:extLst>
          </c:dPt>
          <c:dPt>
            <c:idx val="1"/>
            <c:bubble3D val="0"/>
            <c:spPr>
              <a:solidFill>
                <a:srgbClr val="66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B46-4D88-8CE9-DE0E48FF4FB2}"/>
              </c:ext>
            </c:extLst>
          </c:dPt>
          <c:dPt>
            <c:idx val="2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B46-4D88-8CE9-DE0E48FF4FB2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B46-4D88-8CE9-DE0E48FF4FB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B49-473B-8180-C33EAA45AC7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B49-473B-8180-C33EAA45AC7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'Settembre 2021'!$Z$22:$Z$27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cat>
          <c:val>
            <c:numRef>
              <c:f>'Settembre 2021'!$AA$22:$AA$27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46-4D88-8CE9-DE0E48FF4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1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'Ottobre 2021'!$S$48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FB-4BE3-B8FD-EC3A72EDD17A}"/>
            </c:ext>
          </c:extLst>
        </c:ser>
        <c:ser>
          <c:idx val="0"/>
          <c:order val="1"/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'Ottobre 2021'!$U$25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FB-4BE3-B8FD-EC3A72EDD17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521384479"/>
        <c:axId val="1522797455"/>
      </c:barChart>
      <c:catAx>
        <c:axId val="15213844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1522797455"/>
        <c:crosses val="autoZero"/>
        <c:auto val="1"/>
        <c:lblAlgn val="ctr"/>
        <c:lblOffset val="100"/>
        <c:noMultiLvlLbl val="0"/>
      </c:catAx>
      <c:valAx>
        <c:axId val="1522797455"/>
        <c:scaling>
          <c:orientation val="minMax"/>
          <c:min val="-0.2"/>
        </c:scaling>
        <c:delete val="1"/>
        <c:axPos val="l"/>
        <c:numFmt formatCode="0%" sourceLinked="1"/>
        <c:majorTickMark val="none"/>
        <c:minorTickMark val="none"/>
        <c:tickLblPos val="nextTo"/>
        <c:crossAx val="152138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3400" baseline="0">
                <a:solidFill>
                  <a:schemeClr val="tx1"/>
                </a:solidFill>
              </a:rPr>
              <a:t>RIPARTIZIONE SPESE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E64-449A-8ECE-30DAAD1FB5C0}"/>
              </c:ext>
            </c:extLst>
          </c:dPt>
          <c:dPt>
            <c:idx val="1"/>
            <c:bubble3D val="0"/>
            <c:spPr>
              <a:solidFill>
                <a:srgbClr val="66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E64-449A-8ECE-30DAAD1FB5C0}"/>
              </c:ext>
            </c:extLst>
          </c:dPt>
          <c:dPt>
            <c:idx val="2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E64-449A-8ECE-30DAAD1FB5C0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E64-449A-8ECE-30DAAD1FB5C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15B-4742-97B9-CE47478DD40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15B-4742-97B9-CE47478DD40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'Ottobre 2021'!$Z$22:$Z$27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cat>
          <c:val>
            <c:numRef>
              <c:f>'Ottobre 2021'!$AA$22:$AA$27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E64-449A-8ECE-30DAAD1FB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1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'Novembre 2021'!$S$48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3E-43D8-983E-ADBF3A383557}"/>
            </c:ext>
          </c:extLst>
        </c:ser>
        <c:ser>
          <c:idx val="0"/>
          <c:order val="1"/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'Novembre 2021'!$U$25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3E-43D8-983E-ADBF3A38355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521384479"/>
        <c:axId val="1522797455"/>
      </c:barChart>
      <c:catAx>
        <c:axId val="15213844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1522797455"/>
        <c:crosses val="autoZero"/>
        <c:auto val="1"/>
        <c:lblAlgn val="ctr"/>
        <c:lblOffset val="100"/>
        <c:noMultiLvlLbl val="0"/>
      </c:catAx>
      <c:valAx>
        <c:axId val="1522797455"/>
        <c:scaling>
          <c:orientation val="minMax"/>
          <c:min val="-0.2"/>
        </c:scaling>
        <c:delete val="1"/>
        <c:axPos val="l"/>
        <c:numFmt formatCode="0%" sourceLinked="1"/>
        <c:majorTickMark val="none"/>
        <c:minorTickMark val="none"/>
        <c:tickLblPos val="nextTo"/>
        <c:crossAx val="152138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3400" baseline="0">
                <a:solidFill>
                  <a:schemeClr val="tx1"/>
                </a:solidFill>
              </a:rPr>
              <a:t>RIPARTIZIONE SPESE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FB9-4623-A34F-EDCADE8BFF3F}"/>
              </c:ext>
            </c:extLst>
          </c:dPt>
          <c:dPt>
            <c:idx val="1"/>
            <c:bubble3D val="0"/>
            <c:spPr>
              <a:solidFill>
                <a:srgbClr val="66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FB9-4623-A34F-EDCADE8BFF3F}"/>
              </c:ext>
            </c:extLst>
          </c:dPt>
          <c:dPt>
            <c:idx val="2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FB9-4623-A34F-EDCADE8BFF3F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FB9-4623-A34F-EDCADE8BFF3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454-46D6-B61B-7D91C38B482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454-46D6-B61B-7D91C38B482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'Novembre 2021'!$Z$22:$Z$27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cat>
          <c:val>
            <c:numRef>
              <c:f>'Novembre 2021'!$AA$22:$AA$27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B9-4623-A34F-EDCADE8BF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1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'Dicembre 2021'!$S$48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4F-4679-A938-7B8B818A68D4}"/>
            </c:ext>
          </c:extLst>
        </c:ser>
        <c:ser>
          <c:idx val="0"/>
          <c:order val="1"/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'Dicembre 2021'!$U$25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4F-4679-A938-7B8B818A68D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521384479"/>
        <c:axId val="1522797455"/>
      </c:barChart>
      <c:catAx>
        <c:axId val="15213844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1522797455"/>
        <c:crosses val="autoZero"/>
        <c:auto val="1"/>
        <c:lblAlgn val="ctr"/>
        <c:lblOffset val="100"/>
        <c:noMultiLvlLbl val="0"/>
      </c:catAx>
      <c:valAx>
        <c:axId val="1522797455"/>
        <c:scaling>
          <c:orientation val="minMax"/>
          <c:min val="-0.2"/>
        </c:scaling>
        <c:delete val="1"/>
        <c:axPos val="l"/>
        <c:numFmt formatCode="0%" sourceLinked="1"/>
        <c:majorTickMark val="none"/>
        <c:minorTickMark val="none"/>
        <c:tickLblPos val="nextTo"/>
        <c:crossAx val="152138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3400" baseline="0">
                <a:solidFill>
                  <a:schemeClr val="tx1"/>
                </a:solidFill>
              </a:rPr>
              <a:t>RIPARTIZIONE SPESE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F5C-465A-9207-C4484D6C012E}"/>
              </c:ext>
            </c:extLst>
          </c:dPt>
          <c:dPt>
            <c:idx val="1"/>
            <c:bubble3D val="0"/>
            <c:spPr>
              <a:solidFill>
                <a:srgbClr val="66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F5C-465A-9207-C4484D6C012E}"/>
              </c:ext>
            </c:extLst>
          </c:dPt>
          <c:dPt>
            <c:idx val="2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F5C-465A-9207-C4484D6C012E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F5C-465A-9207-C4484D6C01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EC6-45C8-AE2D-810BB275535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EC6-45C8-AE2D-810BB275535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'Dicembre 2021'!$Z$22:$Z$27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cat>
          <c:val>
            <c:numRef>
              <c:f>'Dicembre 2021'!$AA$22:$AA$27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F5C-465A-9207-C4484D6C0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'Risparmio totale'!$A$3</c:f>
              <c:strCache>
                <c:ptCount val="1"/>
                <c:pt idx="0">
                  <c:v>Mensile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'Risparmio totale'!$B$2:$Q$2</c:f>
              <c:strCache>
                <c:ptCount val="12"/>
                <c:pt idx="0">
                  <c:v>Gennaio 2021</c:v>
                </c:pt>
                <c:pt idx="1">
                  <c:v>Febbraio 2021</c:v>
                </c:pt>
                <c:pt idx="2">
                  <c:v>Marzo 2021</c:v>
                </c:pt>
                <c:pt idx="3">
                  <c:v>Aprile 2021</c:v>
                </c:pt>
                <c:pt idx="4">
                  <c:v>Maggio 2021</c:v>
                </c:pt>
                <c:pt idx="5">
                  <c:v>Giugno 2021</c:v>
                </c:pt>
                <c:pt idx="6">
                  <c:v>Luglio 2021</c:v>
                </c:pt>
                <c:pt idx="7">
                  <c:v>Agosto 2021</c:v>
                </c:pt>
                <c:pt idx="8">
                  <c:v>Settembre 2021</c:v>
                </c:pt>
                <c:pt idx="9">
                  <c:v>Ottobre 2021</c:v>
                </c:pt>
                <c:pt idx="10">
                  <c:v>Novembre 2021</c:v>
                </c:pt>
                <c:pt idx="11">
                  <c:v>Dicembre 2021</c:v>
                </c:pt>
              </c:strCache>
            </c:strRef>
          </c:cat>
          <c:val>
            <c:numRef>
              <c:f>'Risparmio totale'!$B$3:$Q$3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6-4A74-BA5B-083A05923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589122959"/>
        <c:axId val="498378319"/>
      </c:barChart>
      <c:lineChart>
        <c:grouping val="standard"/>
        <c:varyColors val="0"/>
        <c:ser>
          <c:idx val="1"/>
          <c:order val="1"/>
          <c:tx>
            <c:strRef>
              <c:f>'Risparmio totale'!$A$4</c:f>
              <c:strCache>
                <c:ptCount val="1"/>
                <c:pt idx="0">
                  <c:v>Cumulato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'Risparmio totale'!$B$2:$Q$2</c:f>
              <c:strCache>
                <c:ptCount val="12"/>
                <c:pt idx="0">
                  <c:v>Gennaio 2021</c:v>
                </c:pt>
                <c:pt idx="1">
                  <c:v>Febbraio 2021</c:v>
                </c:pt>
                <c:pt idx="2">
                  <c:v>Marzo 2021</c:v>
                </c:pt>
                <c:pt idx="3">
                  <c:v>Aprile 2021</c:v>
                </c:pt>
                <c:pt idx="4">
                  <c:v>Maggio 2021</c:v>
                </c:pt>
                <c:pt idx="5">
                  <c:v>Giugno 2021</c:v>
                </c:pt>
                <c:pt idx="6">
                  <c:v>Luglio 2021</c:v>
                </c:pt>
                <c:pt idx="7">
                  <c:v>Agosto 2021</c:v>
                </c:pt>
                <c:pt idx="8">
                  <c:v>Settembre 2021</c:v>
                </c:pt>
                <c:pt idx="9">
                  <c:v>Ottobre 2021</c:v>
                </c:pt>
                <c:pt idx="10">
                  <c:v>Novembre 2021</c:v>
                </c:pt>
                <c:pt idx="11">
                  <c:v>Dicembre 2021</c:v>
                </c:pt>
              </c:strCache>
            </c:strRef>
          </c:cat>
          <c:val>
            <c:numRef>
              <c:f>'Risparmio totale'!$B$4:$Q$4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56-4A74-BA5B-083A05923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00559"/>
        <c:axId val="498404527"/>
      </c:lineChart>
      <c:valAx>
        <c:axId val="49840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accent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00559"/>
        <c:crosses val="max"/>
        <c:crossBetween val="between"/>
      </c:valAx>
      <c:catAx>
        <c:axId val="502800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04527"/>
        <c:crosses val="autoZero"/>
        <c:auto val="1"/>
        <c:lblAlgn val="ctr"/>
        <c:lblOffset val="100"/>
        <c:noMultiLvlLbl val="0"/>
      </c:catAx>
      <c:valAx>
        <c:axId val="4983783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22959"/>
        <c:crosses val="autoZero"/>
        <c:crossBetween val="between"/>
      </c:valAx>
      <c:catAx>
        <c:axId val="5891229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83783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'Risparmio totale'!$A$5</c:f>
              <c:strCache>
                <c:ptCount val="1"/>
                <c:pt idx="0">
                  <c:v>Spesa Mensile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'Risparmio totale'!$B$2:$Q$2</c:f>
              <c:strCache>
                <c:ptCount val="12"/>
                <c:pt idx="0">
                  <c:v>Gennaio 2021</c:v>
                </c:pt>
                <c:pt idx="1">
                  <c:v>Febbraio 2021</c:v>
                </c:pt>
                <c:pt idx="2">
                  <c:v>Marzo 2021</c:v>
                </c:pt>
                <c:pt idx="3">
                  <c:v>Aprile 2021</c:v>
                </c:pt>
                <c:pt idx="4">
                  <c:v>Maggio 2021</c:v>
                </c:pt>
                <c:pt idx="5">
                  <c:v>Giugno 2021</c:v>
                </c:pt>
                <c:pt idx="6">
                  <c:v>Luglio 2021</c:v>
                </c:pt>
                <c:pt idx="7">
                  <c:v>Agosto 2021</c:v>
                </c:pt>
                <c:pt idx="8">
                  <c:v>Settembre 2021</c:v>
                </c:pt>
                <c:pt idx="9">
                  <c:v>Ottobre 2021</c:v>
                </c:pt>
                <c:pt idx="10">
                  <c:v>Novembre 2021</c:v>
                </c:pt>
                <c:pt idx="11">
                  <c:v>Dicembre 2021</c:v>
                </c:pt>
              </c:strCache>
            </c:strRef>
          </c:cat>
          <c:val>
            <c:numRef>
              <c:f>'Risparmio totale'!$B$5:$Q$5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2F-47A0-8D95-D923B489A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589122959"/>
        <c:axId val="498378319"/>
      </c:barChart>
      <c:valAx>
        <c:axId val="498378319"/>
        <c:scaling>
          <c:orientation val="minMax"/>
        </c:scaling>
        <c:delete val="0"/>
        <c:axPos val="l"/>
        <c:numFmt formatCode="General" sourceLinked="1"/>
        <c:majorTickMark val="out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22959"/>
        <c:crosses val="autoZero"/>
        <c:crossBetween val="between"/>
      </c:valAx>
      <c:catAx>
        <c:axId val="589122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783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3400" baseline="0">
                <a:solidFill>
                  <a:schemeClr val="tx1"/>
                </a:solidFill>
              </a:rPr>
              <a:t>RIPARTIZIONE SPESE</a:t>
            </a:r>
          </a:p>
        </c:rich>
      </c:tx>
      <c:layout>
        <c:manualLayout>
          <c:xMode val="edge"/>
          <c:yMode val="edge"/>
          <c:x val="1.8397386824604929E-3"/>
          <c:y val="9.465566653539092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507733004960997"/>
          <c:y val="0.26084233487041819"/>
          <c:w val="0.40507801113160402"/>
          <c:h val="0.41881589543429187"/>
        </c:manualLayout>
      </c:layout>
      <c:pieChart>
        <c:varyColors val="1"/>
        <c:ser>
          <c:idx val="0"/>
          <c:order val="0"/>
          <c:tx>
            <c:strRef>
              <c:f>'Risparmio totale'!$N$10:$N$15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874-4E16-B1AF-0264CB8B57DC}"/>
              </c:ext>
            </c:extLst>
          </c:dPt>
          <c:dPt>
            <c:idx val="1"/>
            <c:bubble3D val="0"/>
            <c:spPr>
              <a:solidFill>
                <a:srgbClr val="66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6874-4E16-B1AF-0264CB8B57DC}"/>
              </c:ext>
            </c:extLst>
          </c:dPt>
          <c:dPt>
            <c:idx val="2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6874-4E16-B1AF-0264CB8B57DC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874-4E16-B1AF-0264CB8B57D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FAE-4450-B083-5FA5C24FF9E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FAE-4450-B083-5FA5C24FF9E5}"/>
              </c:ext>
            </c:extLst>
          </c:dPt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'Risparmio totale'!$N$10:$N$15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cat>
          <c:val>
            <c:numRef>
              <c:f>'Risparmio totale'!$O$10:$O$15</c:f>
              <c:numCache>
                <c:formatCode>"€"\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874-4E16-B1AF-0264CB8B57D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3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Bollette Anno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Bollette!$B$1</c:f>
              <c:strCache>
                <c:ptCount val="1"/>
                <c:pt idx="0">
                  <c:v>ACQUA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Bollette!$A$2:$A$13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Bollette!$B$2:$B$13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FF-4C65-BC2E-6C978B432E29}"/>
            </c:ext>
          </c:extLst>
        </c:ser>
        <c:ser>
          <c:idx val="1"/>
          <c:order val="1"/>
          <c:tx>
            <c:strRef>
              <c:f>Bollette!$C$1</c:f>
              <c:strCache>
                <c:ptCount val="1"/>
                <c:pt idx="0">
                  <c:v>GAS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Bollette!$A$2:$A$13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Bollette!$C$2:$C$13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FF-4C65-BC2E-6C978B432E29}"/>
            </c:ext>
          </c:extLst>
        </c:ser>
        <c:ser>
          <c:idx val="2"/>
          <c:order val="2"/>
          <c:tx>
            <c:strRef>
              <c:f>Bollette!$D$1</c:f>
              <c:strCache>
                <c:ptCount val="1"/>
                <c:pt idx="0">
                  <c:v>INTERNET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Bollette!$A$2:$A$13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Bollette!$D$2:$D$13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FF-4C65-BC2E-6C978B432E29}"/>
            </c:ext>
          </c:extLst>
        </c:ser>
        <c:ser>
          <c:idx val="3"/>
          <c:order val="3"/>
          <c:tx>
            <c:strRef>
              <c:f>Bollette!$E$1</c:f>
              <c:strCache>
                <c:ptCount val="1"/>
                <c:pt idx="0">
                  <c:v>LUCE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Bollette!$A$2:$A$13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Bollette!$E$2:$E$13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FF-4C65-BC2E-6C978B432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5679888"/>
        <c:axId val="1966529936"/>
      </c:barChart>
      <c:catAx>
        <c:axId val="425679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529936"/>
        <c:crosses val="autoZero"/>
        <c:auto val="1"/>
        <c:lblAlgn val="ctr"/>
        <c:lblOffset val="100"/>
        <c:noMultiLvlLbl val="0"/>
      </c:catAx>
      <c:valAx>
        <c:axId val="196652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67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554266</xdr:colOff>
      <xdr:row>25</xdr:row>
      <xdr:rowOff>180975</xdr:rowOff>
    </xdr:from>
    <xdr:to>
      <xdr:col>22</xdr:col>
      <xdr:colOff>108405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E43CF9-899C-4BCF-A5E1-AA98262661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11546</xdr:colOff>
      <xdr:row>7</xdr:row>
      <xdr:rowOff>8657</xdr:rowOff>
    </xdr:from>
    <xdr:to>
      <xdr:col>31</xdr:col>
      <xdr:colOff>496455</xdr:colOff>
      <xdr:row>38</xdr:row>
      <xdr:rowOff>189054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2ABACFC0-F94C-449F-9DA4-3B8C9FBF65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554266</xdr:colOff>
      <xdr:row>25</xdr:row>
      <xdr:rowOff>180975</xdr:rowOff>
    </xdr:from>
    <xdr:to>
      <xdr:col>22</xdr:col>
      <xdr:colOff>108405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E63DB9-F0B1-4F79-8BA9-71829DF889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0</xdr:colOff>
      <xdr:row>7</xdr:row>
      <xdr:rowOff>20205</xdr:rowOff>
    </xdr:from>
    <xdr:to>
      <xdr:col>31</xdr:col>
      <xdr:colOff>484909</xdr:colOff>
      <xdr:row>39</xdr:row>
      <xdr:rowOff>4329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EF9138C9-AAA2-4B29-9658-D21EC1674B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554266</xdr:colOff>
      <xdr:row>25</xdr:row>
      <xdr:rowOff>180975</xdr:rowOff>
    </xdr:from>
    <xdr:to>
      <xdr:col>22</xdr:col>
      <xdr:colOff>108405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EC1C86-B973-456E-BA93-47E1FA442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7</xdr:row>
      <xdr:rowOff>8658</xdr:rowOff>
    </xdr:from>
    <xdr:to>
      <xdr:col>31</xdr:col>
      <xdr:colOff>484910</xdr:colOff>
      <xdr:row>38</xdr:row>
      <xdr:rowOff>189055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B1F53160-1522-496D-A738-081215B56E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554266</xdr:colOff>
      <xdr:row>25</xdr:row>
      <xdr:rowOff>180975</xdr:rowOff>
    </xdr:from>
    <xdr:to>
      <xdr:col>22</xdr:col>
      <xdr:colOff>108405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5EBC5D-FA16-4256-8606-C3B5C296BE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600364</xdr:colOff>
      <xdr:row>6</xdr:row>
      <xdr:rowOff>193384</xdr:rowOff>
    </xdr:from>
    <xdr:to>
      <xdr:col>31</xdr:col>
      <xdr:colOff>473364</xdr:colOff>
      <xdr:row>38</xdr:row>
      <xdr:rowOff>177509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D7921BA6-BF0A-4BC7-84C0-813B86176E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554266</xdr:colOff>
      <xdr:row>25</xdr:row>
      <xdr:rowOff>180975</xdr:rowOff>
    </xdr:from>
    <xdr:to>
      <xdr:col>22</xdr:col>
      <xdr:colOff>108405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80BDB4-CE33-425E-844F-D8BF6FD6E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0</xdr:colOff>
      <xdr:row>6</xdr:row>
      <xdr:rowOff>181839</xdr:rowOff>
    </xdr:from>
    <xdr:to>
      <xdr:col>31</xdr:col>
      <xdr:colOff>484909</xdr:colOff>
      <xdr:row>38</xdr:row>
      <xdr:rowOff>165964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DF53BDDF-340C-4B73-835D-3486DA806E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554266</xdr:colOff>
      <xdr:row>25</xdr:row>
      <xdr:rowOff>180975</xdr:rowOff>
    </xdr:from>
    <xdr:to>
      <xdr:col>22</xdr:col>
      <xdr:colOff>108405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95449A-3DE5-4079-BC82-6AD23F0D51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0</xdr:colOff>
      <xdr:row>6</xdr:row>
      <xdr:rowOff>184727</xdr:rowOff>
    </xdr:from>
    <xdr:to>
      <xdr:col>31</xdr:col>
      <xdr:colOff>484909</xdr:colOff>
      <xdr:row>38</xdr:row>
      <xdr:rowOff>168852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828597B6-1CD5-4715-8E6B-33E1BB170C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554266</xdr:colOff>
      <xdr:row>25</xdr:row>
      <xdr:rowOff>180975</xdr:rowOff>
    </xdr:from>
    <xdr:to>
      <xdr:col>22</xdr:col>
      <xdr:colOff>108405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E4F458-2C04-46CC-B8C5-E704ED0BC9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6</xdr:row>
      <xdr:rowOff>193386</xdr:rowOff>
    </xdr:from>
    <xdr:to>
      <xdr:col>31</xdr:col>
      <xdr:colOff>484910</xdr:colOff>
      <xdr:row>38</xdr:row>
      <xdr:rowOff>177511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DE0E1F8F-CB23-41BF-B450-9C1E77C47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554266</xdr:colOff>
      <xdr:row>25</xdr:row>
      <xdr:rowOff>180975</xdr:rowOff>
    </xdr:from>
    <xdr:to>
      <xdr:col>22</xdr:col>
      <xdr:colOff>108405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C39B33-64BB-41C2-A094-70B01B8AB5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6</xdr:row>
      <xdr:rowOff>193384</xdr:rowOff>
    </xdr:from>
    <xdr:to>
      <xdr:col>31</xdr:col>
      <xdr:colOff>484910</xdr:colOff>
      <xdr:row>38</xdr:row>
      <xdr:rowOff>177509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46F49710-260D-4EA2-A69F-38A657B283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554266</xdr:colOff>
      <xdr:row>25</xdr:row>
      <xdr:rowOff>180975</xdr:rowOff>
    </xdr:from>
    <xdr:to>
      <xdr:col>22</xdr:col>
      <xdr:colOff>108405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F34FAB2-637F-4F48-8F78-7FEA316CF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6</xdr:row>
      <xdr:rowOff>181838</xdr:rowOff>
    </xdr:from>
    <xdr:to>
      <xdr:col>31</xdr:col>
      <xdr:colOff>484910</xdr:colOff>
      <xdr:row>38</xdr:row>
      <xdr:rowOff>165963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B0876D2-87DC-4FF3-BD9A-BDF8460974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554266</xdr:colOff>
      <xdr:row>25</xdr:row>
      <xdr:rowOff>180975</xdr:rowOff>
    </xdr:from>
    <xdr:to>
      <xdr:col>22</xdr:col>
      <xdr:colOff>108405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80CA67-76BB-463C-998D-CEBB6F630C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0</xdr:colOff>
      <xdr:row>6</xdr:row>
      <xdr:rowOff>181839</xdr:rowOff>
    </xdr:from>
    <xdr:to>
      <xdr:col>31</xdr:col>
      <xdr:colOff>484909</xdr:colOff>
      <xdr:row>38</xdr:row>
      <xdr:rowOff>165964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CFED1EFD-AC2A-49D4-8F2B-9BC7930CA6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554266</xdr:colOff>
      <xdr:row>25</xdr:row>
      <xdr:rowOff>180975</xdr:rowOff>
    </xdr:from>
    <xdr:to>
      <xdr:col>22</xdr:col>
      <xdr:colOff>108405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5A72C5-99E5-44BB-8746-0BB30B0257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0</xdr:colOff>
      <xdr:row>6</xdr:row>
      <xdr:rowOff>193385</xdr:rowOff>
    </xdr:from>
    <xdr:to>
      <xdr:col>31</xdr:col>
      <xdr:colOff>484909</xdr:colOff>
      <xdr:row>38</xdr:row>
      <xdr:rowOff>177510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65378CC4-19CB-4A24-B7A9-3672EC4D35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554266</xdr:colOff>
      <xdr:row>25</xdr:row>
      <xdr:rowOff>180975</xdr:rowOff>
    </xdr:from>
    <xdr:to>
      <xdr:col>22</xdr:col>
      <xdr:colOff>108405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B29646-BFA1-4116-981C-D3DB247802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6</xdr:row>
      <xdr:rowOff>193384</xdr:rowOff>
    </xdr:from>
    <xdr:to>
      <xdr:col>31</xdr:col>
      <xdr:colOff>484910</xdr:colOff>
      <xdr:row>38</xdr:row>
      <xdr:rowOff>177509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9B717727-EF4A-441C-A3D4-B9ACC6DFD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20411</xdr:colOff>
      <xdr:row>4</xdr:row>
      <xdr:rowOff>177347</xdr:rowOff>
    </xdr:from>
    <xdr:to>
      <xdr:col>12</xdr:col>
      <xdr:colOff>707572</xdr:colOff>
      <xdr:row>19</xdr:row>
      <xdr:rowOff>65768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5687CA9-4471-4BE1-BC96-C35EE3613E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17318</xdr:colOff>
      <xdr:row>19</xdr:row>
      <xdr:rowOff>143492</xdr:rowOff>
    </xdr:from>
    <xdr:to>
      <xdr:col>12</xdr:col>
      <xdr:colOff>704479</xdr:colOff>
      <xdr:row>34</xdr:row>
      <xdr:rowOff>31914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1EF8CCB5-CC09-4E0F-9D6B-3693BC2CD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18144</xdr:colOff>
      <xdr:row>2</xdr:row>
      <xdr:rowOff>46182</xdr:rowOff>
    </xdr:from>
    <xdr:to>
      <xdr:col>22</xdr:col>
      <xdr:colOff>570677</xdr:colOff>
      <xdr:row>40</xdr:row>
      <xdr:rowOff>127000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751CA66B-CD8D-4FD2-AA3F-F467E35B1A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31750</xdr:colOff>
      <xdr:row>0</xdr:row>
      <xdr:rowOff>6350</xdr:rowOff>
    </xdr:from>
    <xdr:to>
      <xdr:col>19</xdr:col>
      <xdr:colOff>463550</xdr:colOff>
      <xdr:row>21</xdr:row>
      <xdr:rowOff>19050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1BFC0620-3D30-4DDD-8C0C-1673BE4DC7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08327-9E01-488B-8A0C-C6E5E39D7F92}">
  <sheetPr codeName="Foglio1"/>
  <dimension ref="A1:AA59"/>
  <sheetViews>
    <sheetView zoomScale="55" zoomScaleNormal="55" workbookViewId="0">
      <pane xSplit="3" ySplit="3" topLeftCell="F4" activePane="bottomRight" state="frozen"/>
      <selection pane="topRight" activeCell="D1" sqref="D1"/>
      <selection pane="bottomLeft" activeCell="A4" sqref="A4"/>
      <selection pane="bottomRight" activeCell="AA22" sqref="AA22"/>
    </sheetView>
  </sheetViews>
  <sheetFormatPr defaultRowHeight="14.5" x14ac:dyDescent="0.35"/>
  <cols>
    <col min="1" max="1" width="3.7265625" bestFit="1" customWidth="1"/>
    <col min="2" max="2" width="12.453125" bestFit="1" customWidth="1"/>
    <col min="3" max="3" width="7.54296875" bestFit="1" customWidth="1"/>
    <col min="4" max="4" width="11" bestFit="1" customWidth="1"/>
    <col min="5" max="5" width="13.6328125" bestFit="1" customWidth="1"/>
    <col min="6" max="6" width="13.26953125" bestFit="1" customWidth="1"/>
    <col min="10" max="10" width="8.1796875" bestFit="1" customWidth="1"/>
    <col min="11" max="11" width="10" bestFit="1" customWidth="1"/>
    <col min="12" max="12" width="9.54296875" customWidth="1"/>
    <col min="14" max="14" width="9.453125" customWidth="1"/>
    <col min="18" max="18" width="17.90625" bestFit="1" customWidth="1"/>
    <col min="19" max="19" width="14.26953125" bestFit="1" customWidth="1"/>
    <col min="21" max="21" width="19.26953125" bestFit="1" customWidth="1"/>
    <col min="22" max="22" width="16.54296875" bestFit="1" customWidth="1"/>
    <col min="25" max="25" width="27.36328125" bestFit="1" customWidth="1"/>
    <col min="26" max="26" width="13.81640625" bestFit="1" customWidth="1"/>
    <col min="28" max="28" width="21.453125" bestFit="1" customWidth="1"/>
  </cols>
  <sheetData>
    <row r="1" spans="1:26" ht="26" x14ac:dyDescent="0.6">
      <c r="A1" s="74" t="str" cm="1">
        <f t="array" aca="1" ref="A1" ca="1">MID(CELL("nomefile",A1),FIND("]",CELL("nomefile",A1))+1,255)</f>
        <v>Gennaio 2021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44"/>
    </row>
    <row r="2" spans="1:26" ht="15" customHeight="1" x14ac:dyDescent="0.35">
      <c r="D2" s="76" t="s">
        <v>44</v>
      </c>
      <c r="E2" s="76"/>
      <c r="F2" s="76"/>
      <c r="G2" s="76"/>
      <c r="H2" s="77" t="s">
        <v>45</v>
      </c>
      <c r="I2" s="77"/>
      <c r="J2" s="78" t="s">
        <v>48</v>
      </c>
      <c r="K2" s="78"/>
      <c r="L2" s="78"/>
      <c r="M2" s="78"/>
      <c r="N2" s="78"/>
      <c r="O2" s="78"/>
      <c r="P2" s="79" t="s">
        <v>8</v>
      </c>
      <c r="Q2" s="80"/>
      <c r="S2" s="1" t="s">
        <v>17</v>
      </c>
    </row>
    <row r="3" spans="1:26" ht="29.5" thickBot="1" x14ac:dyDescent="0.4">
      <c r="D3" s="19" t="s">
        <v>49</v>
      </c>
      <c r="E3" s="4" t="s">
        <v>54</v>
      </c>
      <c r="F3" s="19" t="s">
        <v>52</v>
      </c>
      <c r="G3" s="4" t="s">
        <v>0</v>
      </c>
      <c r="H3" s="5" t="s">
        <v>46</v>
      </c>
      <c r="I3" s="5" t="s">
        <v>47</v>
      </c>
      <c r="J3" s="6" t="s">
        <v>50</v>
      </c>
      <c r="K3" s="6" t="s">
        <v>11</v>
      </c>
      <c r="L3" s="6" t="s">
        <v>51</v>
      </c>
      <c r="M3" s="6" t="s">
        <v>12</v>
      </c>
      <c r="N3" s="6" t="s">
        <v>10</v>
      </c>
      <c r="O3" s="6" t="s">
        <v>0</v>
      </c>
      <c r="P3" s="7"/>
      <c r="Q3" s="7" t="s">
        <v>26</v>
      </c>
      <c r="R3" s="52" t="s">
        <v>25</v>
      </c>
      <c r="S3" s="2">
        <f>V23</f>
        <v>0</v>
      </c>
    </row>
    <row r="4" spans="1:26" ht="15" customHeight="1" x14ac:dyDescent="0.45">
      <c r="A4" s="64" t="s">
        <v>9</v>
      </c>
      <c r="B4" s="8" t="s">
        <v>33</v>
      </c>
      <c r="C4" s="3" t="s">
        <v>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21"/>
      <c r="R4" s="20">
        <f t="shared" ref="R4:R10" si="0">SUM(D4:Q4)</f>
        <v>0</v>
      </c>
      <c r="U4" s="67" t="s">
        <v>18</v>
      </c>
      <c r="V4" s="26" t="s">
        <v>27</v>
      </c>
      <c r="W4" s="10"/>
      <c r="Y4" s="48" t="s">
        <v>40</v>
      </c>
      <c r="Z4" s="48">
        <f>SUM(W13:W21)+R12+R21+R30+R39+R48+R57</f>
        <v>0</v>
      </c>
    </row>
    <row r="5" spans="1:26" ht="15" customHeight="1" x14ac:dyDescent="0.35">
      <c r="A5" s="64"/>
      <c r="B5" s="8" t="s">
        <v>33</v>
      </c>
      <c r="C5" s="3" t="s">
        <v>2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20"/>
      <c r="R5" s="20">
        <f t="shared" si="0"/>
        <v>0</v>
      </c>
      <c r="U5" s="68"/>
      <c r="V5" s="31"/>
      <c r="W5" s="11"/>
    </row>
    <row r="6" spans="1:26" ht="15" customHeight="1" x14ac:dyDescent="0.45">
      <c r="A6" s="64"/>
      <c r="B6" s="8" t="s">
        <v>33</v>
      </c>
      <c r="C6" s="3" t="s">
        <v>3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20">
        <f t="shared" si="0"/>
        <v>0</v>
      </c>
      <c r="U6" s="68"/>
      <c r="V6" s="31"/>
      <c r="W6" s="11"/>
      <c r="Y6" s="48" t="s">
        <v>42</v>
      </c>
      <c r="Z6" s="48">
        <f>W11-Z4</f>
        <v>0</v>
      </c>
    </row>
    <row r="7" spans="1:26" ht="15" customHeight="1" x14ac:dyDescent="0.35">
      <c r="A7" s="64"/>
      <c r="B7" s="8" t="s">
        <v>33</v>
      </c>
      <c r="C7" s="3" t="s">
        <v>4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20"/>
      <c r="R7" s="20">
        <f t="shared" si="0"/>
        <v>0</v>
      </c>
      <c r="U7" s="68"/>
      <c r="V7" s="31"/>
      <c r="W7" s="11"/>
    </row>
    <row r="8" spans="1:26" ht="15" customHeight="1" x14ac:dyDescent="0.35">
      <c r="A8" s="64"/>
      <c r="B8" s="8">
        <v>44197</v>
      </c>
      <c r="C8" s="3" t="s">
        <v>5</v>
      </c>
      <c r="D8" s="18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>
        <f t="shared" si="0"/>
        <v>0</v>
      </c>
      <c r="U8" s="68"/>
      <c r="V8" s="31"/>
      <c r="W8" s="11"/>
    </row>
    <row r="9" spans="1:26" ht="15" customHeight="1" x14ac:dyDescent="0.35">
      <c r="A9" s="64"/>
      <c r="B9" s="8">
        <v>44198</v>
      </c>
      <c r="C9" s="3" t="s">
        <v>6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20"/>
      <c r="R9" s="20">
        <f t="shared" si="0"/>
        <v>0</v>
      </c>
      <c r="U9" s="68"/>
      <c r="V9" s="31"/>
      <c r="W9" s="11"/>
    </row>
    <row r="10" spans="1:26" ht="15" customHeight="1" thickBot="1" x14ac:dyDescent="0.4">
      <c r="A10" s="64"/>
      <c r="B10" s="8">
        <v>44199</v>
      </c>
      <c r="C10" s="3" t="s">
        <v>7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22"/>
      <c r="R10" s="20">
        <f t="shared" si="0"/>
        <v>0</v>
      </c>
      <c r="U10" s="68"/>
      <c r="V10" s="31"/>
      <c r="W10" s="11"/>
    </row>
    <row r="11" spans="1:26" ht="15" thickBot="1" x14ac:dyDescent="0.4">
      <c r="A11" s="64"/>
      <c r="B11" s="8"/>
      <c r="C11" s="3" t="s">
        <v>13</v>
      </c>
      <c r="D11" s="35">
        <f>SUM(D4:D10)</f>
        <v>0</v>
      </c>
      <c r="E11" s="36">
        <f t="shared" ref="E11:P11" si="1">SUM(E4:E10)</f>
        <v>0</v>
      </c>
      <c r="F11" s="36">
        <f t="shared" si="1"/>
        <v>0</v>
      </c>
      <c r="G11" s="36">
        <f t="shared" si="1"/>
        <v>0</v>
      </c>
      <c r="H11" s="37">
        <f t="shared" si="1"/>
        <v>0</v>
      </c>
      <c r="I11" s="37">
        <f t="shared" si="1"/>
        <v>0</v>
      </c>
      <c r="J11" s="38">
        <f t="shared" si="1"/>
        <v>0</v>
      </c>
      <c r="K11" s="38">
        <f t="shared" si="1"/>
        <v>0</v>
      </c>
      <c r="L11" s="38">
        <f t="shared" si="1"/>
        <v>0</v>
      </c>
      <c r="M11" s="38">
        <f t="shared" si="1"/>
        <v>0</v>
      </c>
      <c r="N11" s="38">
        <f t="shared" si="1"/>
        <v>0</v>
      </c>
      <c r="O11" s="38">
        <f t="shared" si="1"/>
        <v>0</v>
      </c>
      <c r="P11" s="23">
        <f t="shared" si="1"/>
        <v>0</v>
      </c>
      <c r="Q11" s="23">
        <f>SUM(Q4:Q10)</f>
        <v>0</v>
      </c>
      <c r="R11" s="24" t="s">
        <v>56</v>
      </c>
      <c r="S11" s="2" t="s">
        <v>21</v>
      </c>
      <c r="U11" s="69"/>
      <c r="V11" s="49" t="s">
        <v>13</v>
      </c>
      <c r="W11" s="9">
        <f>SUM(W4:W10)</f>
        <v>0</v>
      </c>
    </row>
    <row r="12" spans="1:26" ht="15" thickBot="1" x14ac:dyDescent="0.4">
      <c r="A12" s="29"/>
      <c r="B12" s="8"/>
      <c r="C12" s="3"/>
      <c r="D12" s="70">
        <f>SUM(D11:G11)</f>
        <v>0</v>
      </c>
      <c r="E12" s="71"/>
      <c r="F12" s="71"/>
      <c r="G12" s="71"/>
      <c r="H12" s="72">
        <f>SUM(H11:I11)</f>
        <v>0</v>
      </c>
      <c r="I12" s="72"/>
      <c r="J12" s="73">
        <f>SUM(J11:O11)</f>
        <v>0</v>
      </c>
      <c r="K12" s="73"/>
      <c r="L12" s="73"/>
      <c r="M12" s="73"/>
      <c r="N12" s="73"/>
      <c r="O12" s="73"/>
      <c r="P12" s="62">
        <f>SUM(P11:Q11)</f>
        <v>0</v>
      </c>
      <c r="Q12" s="63"/>
      <c r="R12" s="9">
        <f t="shared" ref="R12:R19" si="2">SUM(D12:Q12)</f>
        <v>0</v>
      </c>
      <c r="S12" s="9">
        <f>$S$3-R12</f>
        <v>0</v>
      </c>
      <c r="U12" s="1"/>
      <c r="V12" s="1"/>
    </row>
    <row r="13" spans="1:26" x14ac:dyDescent="0.35">
      <c r="A13" s="29"/>
      <c r="B13" s="8">
        <v>44200</v>
      </c>
      <c r="C13" s="3" t="s">
        <v>1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0"/>
      <c r="Q13" s="21"/>
      <c r="R13" s="33">
        <f t="shared" si="2"/>
        <v>0</v>
      </c>
      <c r="U13" s="67" t="s">
        <v>19</v>
      </c>
      <c r="V13" s="26" t="s">
        <v>20</v>
      </c>
      <c r="W13" s="10"/>
    </row>
    <row r="14" spans="1:26" x14ac:dyDescent="0.35">
      <c r="A14" s="64" t="s">
        <v>14</v>
      </c>
      <c r="B14" s="8">
        <v>44201</v>
      </c>
      <c r="C14" s="3" t="s">
        <v>2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>
        <f t="shared" si="2"/>
        <v>0</v>
      </c>
      <c r="U14" s="68"/>
      <c r="V14" s="31" t="s">
        <v>35</v>
      </c>
      <c r="W14" s="11"/>
    </row>
    <row r="15" spans="1:26" x14ac:dyDescent="0.35">
      <c r="A15" s="64"/>
      <c r="B15" s="8">
        <v>44202</v>
      </c>
      <c r="C15" s="3" t="s">
        <v>3</v>
      </c>
      <c r="D15" s="20"/>
      <c r="E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>
        <f t="shared" si="2"/>
        <v>0</v>
      </c>
      <c r="U15" s="68"/>
      <c r="V15" s="31" t="s">
        <v>37</v>
      </c>
      <c r="W15" s="11"/>
    </row>
    <row r="16" spans="1:26" ht="15.75" customHeight="1" x14ac:dyDescent="0.35">
      <c r="A16" s="64"/>
      <c r="B16" s="8">
        <v>44203</v>
      </c>
      <c r="C16" s="3" t="s">
        <v>4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>
        <f t="shared" si="2"/>
        <v>0</v>
      </c>
      <c r="U16" s="68"/>
      <c r="V16" s="31" t="s">
        <v>38</v>
      </c>
      <c r="W16" s="11"/>
    </row>
    <row r="17" spans="1:27" x14ac:dyDescent="0.35">
      <c r="A17" s="64"/>
      <c r="B17" s="8">
        <v>44204</v>
      </c>
      <c r="C17" s="3" t="s">
        <v>5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>
        <f t="shared" si="2"/>
        <v>0</v>
      </c>
      <c r="U17" s="68"/>
      <c r="V17" s="31" t="s">
        <v>36</v>
      </c>
      <c r="W17" s="11"/>
    </row>
    <row r="18" spans="1:27" x14ac:dyDescent="0.35">
      <c r="A18" s="64"/>
      <c r="B18" s="8">
        <v>44205</v>
      </c>
      <c r="C18" s="3" t="s">
        <v>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>
        <f t="shared" si="2"/>
        <v>0</v>
      </c>
      <c r="U18" s="68"/>
      <c r="V18" s="31"/>
      <c r="W18" s="11"/>
      <c r="X18" s="13"/>
    </row>
    <row r="19" spans="1:27" ht="15.75" customHeight="1" thickBot="1" x14ac:dyDescent="0.4">
      <c r="A19" s="64"/>
      <c r="B19" s="8">
        <v>44206</v>
      </c>
      <c r="C19" s="3" t="s">
        <v>7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34">
        <f t="shared" si="2"/>
        <v>0</v>
      </c>
      <c r="U19" s="68"/>
      <c r="V19" s="45"/>
      <c r="W19" s="11"/>
      <c r="X19" s="13"/>
    </row>
    <row r="20" spans="1:27" ht="15" thickBot="1" x14ac:dyDescent="0.4">
      <c r="A20" s="64"/>
      <c r="C20" s="3" t="s">
        <v>13</v>
      </c>
      <c r="D20" s="14">
        <f t="shared" ref="D20:Q20" si="3">SUM(D13:D19)</f>
        <v>0</v>
      </c>
      <c r="E20" s="14">
        <f t="shared" si="3"/>
        <v>0</v>
      </c>
      <c r="F20" s="14">
        <f t="shared" si="3"/>
        <v>0</v>
      </c>
      <c r="G20" s="14">
        <f t="shared" si="3"/>
        <v>0</v>
      </c>
      <c r="H20" s="15">
        <f t="shared" si="3"/>
        <v>0</v>
      </c>
      <c r="I20" s="15">
        <f t="shared" si="3"/>
        <v>0</v>
      </c>
      <c r="J20" s="16">
        <f t="shared" si="3"/>
        <v>0</v>
      </c>
      <c r="K20" s="16">
        <f t="shared" si="3"/>
        <v>0</v>
      </c>
      <c r="L20" s="16">
        <f t="shared" si="3"/>
        <v>0</v>
      </c>
      <c r="M20" s="16">
        <f t="shared" si="3"/>
        <v>0</v>
      </c>
      <c r="N20" s="16">
        <f t="shared" si="3"/>
        <v>0</v>
      </c>
      <c r="O20" s="16">
        <f t="shared" si="3"/>
        <v>0</v>
      </c>
      <c r="P20" s="25">
        <f t="shared" si="3"/>
        <v>0</v>
      </c>
      <c r="Q20" s="25">
        <f t="shared" si="3"/>
        <v>0</v>
      </c>
      <c r="R20" s="24" t="s">
        <v>56</v>
      </c>
      <c r="S20" s="2" t="s">
        <v>22</v>
      </c>
      <c r="U20" s="68"/>
      <c r="V20" s="45"/>
      <c r="W20" s="11"/>
    </row>
    <row r="21" spans="1:27" ht="15" thickBot="1" x14ac:dyDescent="0.4">
      <c r="A21" s="29"/>
      <c r="C21" s="3"/>
      <c r="D21" s="71">
        <f>SUM(D20:G20)</f>
        <v>0</v>
      </c>
      <c r="E21" s="71"/>
      <c r="F21" s="71"/>
      <c r="G21" s="71"/>
      <c r="H21" s="72">
        <f>SUM(H20:I20)</f>
        <v>0</v>
      </c>
      <c r="I21" s="72"/>
      <c r="J21" s="73">
        <f>SUM(J20:O20)</f>
        <v>0</v>
      </c>
      <c r="K21" s="73"/>
      <c r="L21" s="73"/>
      <c r="M21" s="73"/>
      <c r="N21" s="73"/>
      <c r="O21" s="73"/>
      <c r="P21" s="62">
        <f>SUM(P20:Q20)</f>
        <v>0</v>
      </c>
      <c r="Q21" s="63"/>
      <c r="R21" s="9">
        <f t="shared" ref="R21:R28" si="4">SUM(D21:Q21)</f>
        <v>0</v>
      </c>
      <c r="S21" s="9">
        <f>S12-R21</f>
        <v>0</v>
      </c>
      <c r="U21" s="69"/>
      <c r="V21" s="46"/>
      <c r="W21" s="47"/>
      <c r="X21" s="13"/>
    </row>
    <row r="22" spans="1:27" ht="15" thickBot="1" x14ac:dyDescent="0.4">
      <c r="A22" s="29"/>
      <c r="B22" s="8">
        <v>44207</v>
      </c>
      <c r="C22" s="3" t="s">
        <v>1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0"/>
      <c r="Q22" s="21"/>
      <c r="R22" s="33">
        <f t="shared" si="4"/>
        <v>0</v>
      </c>
      <c r="Z22" t="s">
        <v>44</v>
      </c>
      <c r="AA22">
        <f>D59</f>
        <v>0</v>
      </c>
    </row>
    <row r="23" spans="1:27" ht="15" thickBot="1" x14ac:dyDescent="0.4">
      <c r="A23" s="64" t="s">
        <v>15</v>
      </c>
      <c r="B23" s="8">
        <v>44208</v>
      </c>
      <c r="C23" s="3" t="s">
        <v>2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>
        <f t="shared" si="4"/>
        <v>0</v>
      </c>
      <c r="U23" s="12" t="s">
        <v>17</v>
      </c>
      <c r="V23" s="65">
        <f t="shared" ref="V23" si="5">W11-SUM(W13:W21)</f>
        <v>0</v>
      </c>
      <c r="W23" s="66"/>
      <c r="Z23" t="s">
        <v>45</v>
      </c>
      <c r="AA23">
        <f>H59</f>
        <v>0</v>
      </c>
    </row>
    <row r="24" spans="1:27" x14ac:dyDescent="0.35">
      <c r="A24" s="64"/>
      <c r="B24" s="8">
        <v>44209</v>
      </c>
      <c r="C24" s="3" t="s">
        <v>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>
        <f t="shared" si="4"/>
        <v>0</v>
      </c>
      <c r="Z24" t="s">
        <v>48</v>
      </c>
      <c r="AA24">
        <f>J59</f>
        <v>0</v>
      </c>
    </row>
    <row r="25" spans="1:27" x14ac:dyDescent="0.35">
      <c r="A25" s="64"/>
      <c r="B25" s="8">
        <v>44210</v>
      </c>
      <c r="C25" s="3" t="s">
        <v>4</v>
      </c>
      <c r="D25" s="20"/>
      <c r="E25" s="20"/>
      <c r="F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>
        <f t="shared" si="4"/>
        <v>0</v>
      </c>
      <c r="U25">
        <f>S3-S48</f>
        <v>0</v>
      </c>
      <c r="Z25" t="s">
        <v>53</v>
      </c>
      <c r="AA25">
        <f>P59</f>
        <v>0</v>
      </c>
    </row>
    <row r="26" spans="1:27" x14ac:dyDescent="0.35">
      <c r="A26" s="64"/>
      <c r="B26" s="8">
        <v>44211</v>
      </c>
      <c r="C26" s="3" t="s">
        <v>5</v>
      </c>
      <c r="D26" s="20"/>
      <c r="E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>
        <f t="shared" si="4"/>
        <v>0</v>
      </c>
      <c r="Z26" t="s">
        <v>83</v>
      </c>
      <c r="AA26">
        <f>W13</f>
        <v>0</v>
      </c>
    </row>
    <row r="27" spans="1:27" x14ac:dyDescent="0.35">
      <c r="A27" s="64"/>
      <c r="B27" s="8">
        <v>44212</v>
      </c>
      <c r="C27" s="3" t="s">
        <v>6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>
        <f t="shared" si="4"/>
        <v>0</v>
      </c>
      <c r="Z27" t="s">
        <v>84</v>
      </c>
      <c r="AA27">
        <f>SUM(W14:W17)</f>
        <v>0</v>
      </c>
    </row>
    <row r="28" spans="1:27" ht="15" customHeight="1" thickBot="1" x14ac:dyDescent="0.4">
      <c r="A28" s="64"/>
      <c r="B28" s="8">
        <v>44213</v>
      </c>
      <c r="C28" s="3" t="s">
        <v>7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34">
        <f t="shared" si="4"/>
        <v>0</v>
      </c>
    </row>
    <row r="29" spans="1:27" ht="15" thickBot="1" x14ac:dyDescent="0.4">
      <c r="A29" s="64"/>
      <c r="C29" s="3" t="s">
        <v>13</v>
      </c>
      <c r="D29" s="14">
        <f t="shared" ref="D29:Q29" si="6">SUM(D22:D28)</f>
        <v>0</v>
      </c>
      <c r="E29" s="14">
        <f>SUM(E22:E28)</f>
        <v>0</v>
      </c>
      <c r="F29" s="14">
        <f t="shared" si="6"/>
        <v>0</v>
      </c>
      <c r="G29" s="14">
        <f t="shared" si="6"/>
        <v>0</v>
      </c>
      <c r="H29" s="15">
        <f t="shared" si="6"/>
        <v>0</v>
      </c>
      <c r="I29" s="15">
        <f t="shared" si="6"/>
        <v>0</v>
      </c>
      <c r="J29" s="16">
        <f t="shared" si="6"/>
        <v>0</v>
      </c>
      <c r="K29" s="16">
        <f t="shared" si="6"/>
        <v>0</v>
      </c>
      <c r="L29" s="16">
        <f t="shared" si="6"/>
        <v>0</v>
      </c>
      <c r="M29" s="16">
        <f t="shared" si="6"/>
        <v>0</v>
      </c>
      <c r="N29" s="16">
        <f t="shared" si="6"/>
        <v>0</v>
      </c>
      <c r="O29" s="16">
        <f t="shared" si="6"/>
        <v>0</v>
      </c>
      <c r="P29" s="23">
        <f t="shared" si="6"/>
        <v>0</v>
      </c>
      <c r="Q29" s="23">
        <f t="shared" si="6"/>
        <v>0</v>
      </c>
      <c r="R29" s="24" t="s">
        <v>56</v>
      </c>
      <c r="S29" s="2" t="s">
        <v>23</v>
      </c>
    </row>
    <row r="30" spans="1:27" ht="15" thickBot="1" x14ac:dyDescent="0.4">
      <c r="A30" s="29"/>
      <c r="C30" s="3"/>
      <c r="D30" s="54">
        <f>SUM(D29:G29)</f>
        <v>0</v>
      </c>
      <c r="E30" s="55"/>
      <c r="F30" s="55"/>
      <c r="G30" s="56"/>
      <c r="H30" s="57">
        <f>SUM(H29:I29)</f>
        <v>0</v>
      </c>
      <c r="I30" s="58"/>
      <c r="J30" s="59">
        <f>SUM(J29:O29)</f>
        <v>0</v>
      </c>
      <c r="K30" s="60"/>
      <c r="L30" s="60"/>
      <c r="M30" s="60"/>
      <c r="N30" s="60"/>
      <c r="O30" s="61"/>
      <c r="P30" s="62">
        <f>SUM(P29:Q29)</f>
        <v>0</v>
      </c>
      <c r="Q30" s="63"/>
      <c r="R30" s="9">
        <f t="shared" ref="R30:R37" si="7">SUM(D30:Q30)</f>
        <v>0</v>
      </c>
      <c r="S30" s="9">
        <f>S21-R30</f>
        <v>0</v>
      </c>
    </row>
    <row r="31" spans="1:27" x14ac:dyDescent="0.35">
      <c r="A31" s="29"/>
      <c r="B31" s="8">
        <v>44214</v>
      </c>
      <c r="C31" s="3" t="s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0"/>
      <c r="Q31" s="21"/>
      <c r="R31" s="33">
        <f t="shared" si="7"/>
        <v>0</v>
      </c>
    </row>
    <row r="32" spans="1:27" x14ac:dyDescent="0.35">
      <c r="A32" s="64" t="s">
        <v>16</v>
      </c>
      <c r="B32" s="8">
        <v>44215</v>
      </c>
      <c r="C32" s="3" t="s">
        <v>2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>
        <f t="shared" si="7"/>
        <v>0</v>
      </c>
    </row>
    <row r="33" spans="1:19" x14ac:dyDescent="0.35">
      <c r="A33" s="64"/>
      <c r="B33" s="8">
        <v>44216</v>
      </c>
      <c r="C33" s="3" t="s">
        <v>3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>
        <f t="shared" si="7"/>
        <v>0</v>
      </c>
    </row>
    <row r="34" spans="1:19" x14ac:dyDescent="0.35">
      <c r="A34" s="64"/>
      <c r="B34" s="8">
        <v>44217</v>
      </c>
      <c r="C34" s="3" t="s">
        <v>4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>
        <f t="shared" si="7"/>
        <v>0</v>
      </c>
    </row>
    <row r="35" spans="1:19" x14ac:dyDescent="0.35">
      <c r="A35" s="64"/>
      <c r="B35" s="8">
        <v>44218</v>
      </c>
      <c r="C35" s="3" t="s">
        <v>5</v>
      </c>
      <c r="D35" s="20"/>
      <c r="F35" s="20"/>
      <c r="G35" s="20"/>
      <c r="H35" s="20"/>
      <c r="J35" s="20"/>
      <c r="K35" s="20"/>
      <c r="L35" s="20"/>
      <c r="N35" s="20"/>
      <c r="O35" s="20"/>
      <c r="P35" s="20"/>
      <c r="Q35" s="20"/>
      <c r="R35" s="20">
        <f t="shared" si="7"/>
        <v>0</v>
      </c>
    </row>
    <row r="36" spans="1:19" x14ac:dyDescent="0.35">
      <c r="A36" s="64"/>
      <c r="B36" s="8">
        <v>44219</v>
      </c>
      <c r="C36" s="3" t="s">
        <v>6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>
        <f t="shared" si="7"/>
        <v>0</v>
      </c>
    </row>
    <row r="37" spans="1:19" ht="15" customHeight="1" thickBot="1" x14ac:dyDescent="0.4">
      <c r="A37" s="64"/>
      <c r="B37" s="8">
        <v>44220</v>
      </c>
      <c r="C37" s="3" t="s">
        <v>7</v>
      </c>
      <c r="D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34">
        <f t="shared" si="7"/>
        <v>0</v>
      </c>
    </row>
    <row r="38" spans="1:19" ht="15" thickBot="1" x14ac:dyDescent="0.4">
      <c r="A38" s="64"/>
      <c r="C38" s="3" t="s">
        <v>13</v>
      </c>
      <c r="D38" s="14">
        <f>SUM(D31:D37)</f>
        <v>0</v>
      </c>
      <c r="E38" s="14">
        <f t="shared" ref="E38:G38" si="8">SUM(E31:E37)</f>
        <v>0</v>
      </c>
      <c r="F38" s="14">
        <f t="shared" si="8"/>
        <v>0</v>
      </c>
      <c r="G38" s="14">
        <f t="shared" si="8"/>
        <v>0</v>
      </c>
      <c r="H38" s="15">
        <f t="shared" ref="H38:Q38" si="9">SUM(H31:H37)</f>
        <v>0</v>
      </c>
      <c r="I38" s="15">
        <f t="shared" si="9"/>
        <v>0</v>
      </c>
      <c r="J38" s="16">
        <f t="shared" si="9"/>
        <v>0</v>
      </c>
      <c r="K38" s="16">
        <f t="shared" si="9"/>
        <v>0</v>
      </c>
      <c r="L38" s="16">
        <f t="shared" si="9"/>
        <v>0</v>
      </c>
      <c r="M38" s="16">
        <f t="shared" si="9"/>
        <v>0</v>
      </c>
      <c r="N38" s="16">
        <f t="shared" si="9"/>
        <v>0</v>
      </c>
      <c r="O38" s="16">
        <f t="shared" si="9"/>
        <v>0</v>
      </c>
      <c r="P38" s="25">
        <f t="shared" si="9"/>
        <v>0</v>
      </c>
      <c r="Q38" s="25">
        <f t="shared" si="9"/>
        <v>0</v>
      </c>
      <c r="R38" s="24" t="s">
        <v>56</v>
      </c>
      <c r="S38" s="2" t="s">
        <v>24</v>
      </c>
    </row>
    <row r="39" spans="1:19" ht="15" thickBot="1" x14ac:dyDescent="0.4">
      <c r="A39" s="29"/>
      <c r="C39" s="3"/>
      <c r="D39" s="54">
        <f t="shared" ref="D39" si="10">SUM(D38:G38)</f>
        <v>0</v>
      </c>
      <c r="E39" s="55"/>
      <c r="F39" s="55"/>
      <c r="G39" s="56"/>
      <c r="H39" s="57">
        <f>SUM(H38:I38)</f>
        <v>0</v>
      </c>
      <c r="I39" s="58"/>
      <c r="J39" s="59">
        <f>SUM(J38:O38)</f>
        <v>0</v>
      </c>
      <c r="K39" s="60"/>
      <c r="L39" s="60"/>
      <c r="M39" s="60"/>
      <c r="N39" s="60"/>
      <c r="O39" s="61"/>
      <c r="P39" s="62">
        <f>SUM(P38:Q38)</f>
        <v>0</v>
      </c>
      <c r="Q39" s="63"/>
      <c r="R39" s="9">
        <f t="shared" ref="R39:R46" si="11">SUM(D39:Q39)</f>
        <v>0</v>
      </c>
      <c r="S39" s="9">
        <f>S30-R39</f>
        <v>0</v>
      </c>
    </row>
    <row r="40" spans="1:19" x14ac:dyDescent="0.35">
      <c r="A40" s="29"/>
      <c r="B40" s="8">
        <v>44221</v>
      </c>
      <c r="C40" s="3" t="s">
        <v>1</v>
      </c>
      <c r="D40" s="27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33">
        <f t="shared" si="11"/>
        <v>0</v>
      </c>
    </row>
    <row r="41" spans="1:19" ht="15" customHeight="1" x14ac:dyDescent="0.35">
      <c r="A41" s="64" t="s">
        <v>29</v>
      </c>
      <c r="B41" s="8">
        <v>44222</v>
      </c>
      <c r="C41" s="3" t="s">
        <v>2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>
        <f t="shared" si="11"/>
        <v>0</v>
      </c>
    </row>
    <row r="42" spans="1:19" x14ac:dyDescent="0.35">
      <c r="A42" s="64"/>
      <c r="B42" s="8">
        <v>44223</v>
      </c>
      <c r="C42" s="3" t="s">
        <v>3</v>
      </c>
      <c r="D42" s="28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>
        <f t="shared" si="11"/>
        <v>0</v>
      </c>
    </row>
    <row r="43" spans="1:19" x14ac:dyDescent="0.35">
      <c r="A43" s="64"/>
      <c r="B43" s="8">
        <v>44224</v>
      </c>
      <c r="C43" s="3" t="s">
        <v>4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>
        <f t="shared" si="11"/>
        <v>0</v>
      </c>
    </row>
    <row r="44" spans="1:19" ht="16.5" customHeight="1" x14ac:dyDescent="0.35">
      <c r="A44" s="64"/>
      <c r="B44" s="8">
        <v>44225</v>
      </c>
      <c r="C44" s="3" t="s">
        <v>5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>
        <f t="shared" si="11"/>
        <v>0</v>
      </c>
    </row>
    <row r="45" spans="1:19" x14ac:dyDescent="0.35">
      <c r="A45" s="64"/>
      <c r="B45" s="8">
        <v>44226</v>
      </c>
      <c r="C45" s="3" t="s">
        <v>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>
        <f t="shared" si="11"/>
        <v>0</v>
      </c>
    </row>
    <row r="46" spans="1:19" ht="15" thickBot="1" x14ac:dyDescent="0.4">
      <c r="A46" s="43"/>
      <c r="B46" s="8">
        <v>44227</v>
      </c>
      <c r="C46" s="3" t="s">
        <v>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34">
        <f t="shared" si="11"/>
        <v>0</v>
      </c>
    </row>
    <row r="47" spans="1:19" ht="15" thickBot="1" x14ac:dyDescent="0.4">
      <c r="A47" s="43"/>
      <c r="B47" s="8"/>
      <c r="C47" s="3" t="s">
        <v>13</v>
      </c>
      <c r="D47" s="14">
        <f t="shared" ref="D47:Q47" si="12">SUM(D40:D46)</f>
        <v>0</v>
      </c>
      <c r="E47" s="14">
        <f t="shared" si="12"/>
        <v>0</v>
      </c>
      <c r="F47" s="14">
        <f t="shared" si="12"/>
        <v>0</v>
      </c>
      <c r="G47" s="14">
        <f t="shared" si="12"/>
        <v>0</v>
      </c>
      <c r="H47" s="15">
        <f t="shared" si="12"/>
        <v>0</v>
      </c>
      <c r="I47" s="15">
        <f t="shared" si="12"/>
        <v>0</v>
      </c>
      <c r="J47" s="16">
        <f t="shared" si="12"/>
        <v>0</v>
      </c>
      <c r="K47" s="16">
        <f t="shared" si="12"/>
        <v>0</v>
      </c>
      <c r="L47" s="16">
        <f t="shared" si="12"/>
        <v>0</v>
      </c>
      <c r="M47" s="16">
        <f t="shared" si="12"/>
        <v>0</v>
      </c>
      <c r="N47" s="16">
        <f t="shared" si="12"/>
        <v>0</v>
      </c>
      <c r="O47" s="16">
        <f t="shared" si="12"/>
        <v>0</v>
      </c>
      <c r="P47" s="17">
        <f t="shared" si="12"/>
        <v>0</v>
      </c>
      <c r="Q47" s="17">
        <f t="shared" si="12"/>
        <v>0</v>
      </c>
      <c r="R47" s="24" t="s">
        <v>56</v>
      </c>
      <c r="S47" s="2" t="s">
        <v>28</v>
      </c>
    </row>
    <row r="48" spans="1:19" ht="15" thickBot="1" x14ac:dyDescent="0.4">
      <c r="C48" s="3"/>
      <c r="D48" s="54">
        <f>SUM(D47:G47)</f>
        <v>0</v>
      </c>
      <c r="E48" s="55"/>
      <c r="F48" s="55"/>
      <c r="G48" s="56"/>
      <c r="H48" s="57">
        <f>SUM(H47:I47)</f>
        <v>0</v>
      </c>
      <c r="I48" s="58"/>
      <c r="J48" s="59">
        <f>SUM(J47:O47)</f>
        <v>0</v>
      </c>
      <c r="K48" s="60"/>
      <c r="L48" s="60"/>
      <c r="M48" s="60"/>
      <c r="N48" s="60"/>
      <c r="O48" s="61"/>
      <c r="P48" s="62">
        <f>SUM(P47:Q47)</f>
        <v>0</v>
      </c>
      <c r="Q48" s="63"/>
      <c r="R48" s="9">
        <f t="shared" ref="R48:R55" si="13">SUM(D48:Q48)</f>
        <v>0</v>
      </c>
      <c r="S48" s="9">
        <f>S39-R48</f>
        <v>0</v>
      </c>
    </row>
    <row r="49" spans="1:19" ht="15.75" customHeight="1" x14ac:dyDescent="0.35">
      <c r="A49" s="64" t="s">
        <v>30</v>
      </c>
      <c r="B49" s="8" t="s">
        <v>33</v>
      </c>
      <c r="C49" s="32" t="s">
        <v>1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33">
        <f t="shared" si="13"/>
        <v>0</v>
      </c>
    </row>
    <row r="50" spans="1:19" ht="15.75" customHeight="1" x14ac:dyDescent="0.35">
      <c r="A50" s="64"/>
      <c r="B50" s="8" t="s">
        <v>33</v>
      </c>
      <c r="C50" s="32" t="s">
        <v>2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>
        <f t="shared" si="13"/>
        <v>0</v>
      </c>
    </row>
    <row r="51" spans="1:19" ht="15.75" customHeight="1" x14ac:dyDescent="0.35">
      <c r="A51" s="64"/>
      <c r="B51" s="8" t="s">
        <v>33</v>
      </c>
      <c r="C51" s="32" t="s">
        <v>3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>
        <f t="shared" si="13"/>
        <v>0</v>
      </c>
    </row>
    <row r="52" spans="1:19" ht="15.75" customHeight="1" x14ac:dyDescent="0.35">
      <c r="A52" s="64"/>
      <c r="B52" s="8" t="s">
        <v>33</v>
      </c>
      <c r="C52" s="32" t="s">
        <v>4</v>
      </c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>
        <f t="shared" si="13"/>
        <v>0</v>
      </c>
    </row>
    <row r="53" spans="1:19" ht="15.75" customHeight="1" x14ac:dyDescent="0.35">
      <c r="A53" s="64"/>
      <c r="B53" s="8" t="s">
        <v>33</v>
      </c>
      <c r="C53" s="32" t="s">
        <v>5</v>
      </c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>
        <f t="shared" si="13"/>
        <v>0</v>
      </c>
    </row>
    <row r="54" spans="1:19" ht="15.75" customHeight="1" x14ac:dyDescent="0.35">
      <c r="A54" s="64"/>
      <c r="B54" s="8" t="s">
        <v>33</v>
      </c>
      <c r="C54" s="32" t="s">
        <v>6</v>
      </c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>
        <f t="shared" si="13"/>
        <v>0</v>
      </c>
    </row>
    <row r="55" spans="1:19" ht="15.75" customHeight="1" thickBot="1" x14ac:dyDescent="0.4">
      <c r="A55" s="64"/>
      <c r="B55" s="8" t="s">
        <v>33</v>
      </c>
      <c r="C55" s="32" t="s">
        <v>7</v>
      </c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0">
        <f t="shared" si="13"/>
        <v>0</v>
      </c>
    </row>
    <row r="56" spans="1:19" ht="15" thickBot="1" x14ac:dyDescent="0.4">
      <c r="A56" s="29"/>
      <c r="B56" s="8"/>
      <c r="C56" s="3" t="s">
        <v>13</v>
      </c>
      <c r="D56" s="39">
        <f t="shared" ref="D56:F56" si="14">SUM(D49:D55)</f>
        <v>0</v>
      </c>
      <c r="E56" s="39">
        <f t="shared" si="14"/>
        <v>0</v>
      </c>
      <c r="F56" s="39">
        <f t="shared" si="14"/>
        <v>0</v>
      </c>
      <c r="G56" s="39">
        <f>SUM(G49:G55)</f>
        <v>0</v>
      </c>
      <c r="H56" s="37">
        <f t="shared" ref="H56:Q56" si="15">SUM(H49:H55)</f>
        <v>0</v>
      </c>
      <c r="I56" s="37">
        <f t="shared" si="15"/>
        <v>0</v>
      </c>
      <c r="J56" s="38">
        <f t="shared" si="15"/>
        <v>0</v>
      </c>
      <c r="K56" s="38">
        <f t="shared" si="15"/>
        <v>0</v>
      </c>
      <c r="L56" s="38">
        <f t="shared" si="15"/>
        <v>0</v>
      </c>
      <c r="M56" s="38">
        <f t="shared" si="15"/>
        <v>0</v>
      </c>
      <c r="N56" s="38">
        <f t="shared" si="15"/>
        <v>0</v>
      </c>
      <c r="O56" s="38">
        <f t="shared" si="15"/>
        <v>0</v>
      </c>
      <c r="P56" s="40">
        <f t="shared" si="15"/>
        <v>0</v>
      </c>
      <c r="Q56" s="40">
        <f t="shared" si="15"/>
        <v>0</v>
      </c>
      <c r="R56" s="24" t="s">
        <v>56</v>
      </c>
      <c r="S56" s="2" t="s">
        <v>39</v>
      </c>
    </row>
    <row r="57" spans="1:19" ht="15" thickBot="1" x14ac:dyDescent="0.4">
      <c r="A57" s="29"/>
      <c r="C57" s="3"/>
      <c r="D57" s="54">
        <f>SUM(D56:G56)</f>
        <v>0</v>
      </c>
      <c r="E57" s="55"/>
      <c r="F57" s="55"/>
      <c r="G57" s="56"/>
      <c r="H57" s="57">
        <f>SUM(H56:I56)</f>
        <v>0</v>
      </c>
      <c r="I57" s="58"/>
      <c r="J57" s="59">
        <f>SUM(J56:O56)</f>
        <v>0</v>
      </c>
      <c r="K57" s="60"/>
      <c r="L57" s="60"/>
      <c r="M57" s="60"/>
      <c r="N57" s="60"/>
      <c r="O57" s="61"/>
      <c r="P57" s="62">
        <f>SUM(P56:Q56)</f>
        <v>0</v>
      </c>
      <c r="Q57" s="63"/>
      <c r="R57" s="9">
        <f>SUM(D57:Q57)</f>
        <v>0</v>
      </c>
      <c r="S57" s="9">
        <f>S48-R57</f>
        <v>0</v>
      </c>
    </row>
    <row r="58" spans="1:19" x14ac:dyDescent="0.35">
      <c r="A58" s="29"/>
    </row>
    <row r="59" spans="1:19" x14ac:dyDescent="0.35">
      <c r="A59" s="29"/>
      <c r="B59" t="s">
        <v>55</v>
      </c>
      <c r="D59" s="54">
        <f t="shared" ref="D59" si="16">D12+D21+D30+D39+D48+D57</f>
        <v>0</v>
      </c>
      <c r="E59" s="55"/>
      <c r="F59" s="55"/>
      <c r="G59" s="56"/>
      <c r="H59" s="57">
        <f t="shared" ref="H59" si="17">H12+H21+H30+H39+H48+H57</f>
        <v>0</v>
      </c>
      <c r="I59" s="58"/>
      <c r="J59" s="59">
        <f t="shared" ref="J59" si="18">J12+J21+J30+J39+J48+J57</f>
        <v>0</v>
      </c>
      <c r="K59" s="60"/>
      <c r="L59" s="60"/>
      <c r="M59" s="60"/>
      <c r="N59" s="60"/>
      <c r="O59" s="61"/>
      <c r="P59" s="62">
        <f t="shared" ref="P59" si="19">P12+P21+P30+P39+P48+P57</f>
        <v>0</v>
      </c>
      <c r="Q59" s="63"/>
      <c r="R59">
        <f>R12+R21+R30+R39+R48+R57</f>
        <v>0</v>
      </c>
    </row>
  </sheetData>
  <mergeCells count="42">
    <mergeCell ref="A1:P1"/>
    <mergeCell ref="D2:G2"/>
    <mergeCell ref="H2:I2"/>
    <mergeCell ref="J2:O2"/>
    <mergeCell ref="P2:Q2"/>
    <mergeCell ref="A32:A38"/>
    <mergeCell ref="A23:A29"/>
    <mergeCell ref="U4:U11"/>
    <mergeCell ref="D12:G12"/>
    <mergeCell ref="H12:I12"/>
    <mergeCell ref="J12:O12"/>
    <mergeCell ref="P12:Q12"/>
    <mergeCell ref="A4:A11"/>
    <mergeCell ref="A14:A20"/>
    <mergeCell ref="D21:G21"/>
    <mergeCell ref="H21:I21"/>
    <mergeCell ref="J21:O21"/>
    <mergeCell ref="P21:Q21"/>
    <mergeCell ref="U13:U21"/>
    <mergeCell ref="P48:Q48"/>
    <mergeCell ref="V23:W23"/>
    <mergeCell ref="D30:G30"/>
    <mergeCell ref="H30:I30"/>
    <mergeCell ref="J30:O30"/>
    <mergeCell ref="P30:Q30"/>
    <mergeCell ref="D39:G39"/>
    <mergeCell ref="H39:I39"/>
    <mergeCell ref="J39:O39"/>
    <mergeCell ref="P39:Q39"/>
    <mergeCell ref="A41:A45"/>
    <mergeCell ref="A49:A55"/>
    <mergeCell ref="D57:G57"/>
    <mergeCell ref="H57:I57"/>
    <mergeCell ref="J57:O57"/>
    <mergeCell ref="D48:G48"/>
    <mergeCell ref="H48:I48"/>
    <mergeCell ref="J48:O48"/>
    <mergeCell ref="D59:G59"/>
    <mergeCell ref="H59:I59"/>
    <mergeCell ref="J59:O59"/>
    <mergeCell ref="P59:Q59"/>
    <mergeCell ref="P57:Q57"/>
  </mergeCells>
  <conditionalFormatting sqref="Z6">
    <cfRule type="cellIs" dxfId="47" priority="1" operator="lessThan">
      <formula>-200</formula>
    </cfRule>
    <cfRule type="cellIs" dxfId="46" priority="2" operator="between">
      <formula>-200</formula>
      <formula>0</formula>
    </cfRule>
    <cfRule type="cellIs" dxfId="45" priority="3" operator="between">
      <formula>0</formula>
      <formula>200</formula>
    </cfRule>
    <cfRule type="cellIs" dxfId="44" priority="4" operator="greaterThan">
      <formula>200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4967B-6636-42A1-86D4-6083A8F8C710}">
  <sheetPr codeName="Foglio2"/>
  <dimension ref="A1:AA59"/>
  <sheetViews>
    <sheetView zoomScale="55" zoomScaleNormal="55" workbookViewId="0">
      <pane xSplit="3" ySplit="3" topLeftCell="S4" activePane="bottomRight" state="frozen"/>
      <selection pane="topRight" activeCell="D1" sqref="D1"/>
      <selection pane="bottomLeft" activeCell="A4" sqref="A4"/>
      <selection pane="bottomRight" activeCell="Z22" sqref="Z22:AA27"/>
    </sheetView>
  </sheetViews>
  <sheetFormatPr defaultRowHeight="14.5" x14ac:dyDescent="0.35"/>
  <cols>
    <col min="1" max="1" width="3.7265625" bestFit="1" customWidth="1"/>
    <col min="2" max="2" width="12.453125" bestFit="1" customWidth="1"/>
    <col min="3" max="3" width="7.54296875" bestFit="1" customWidth="1"/>
    <col min="4" max="4" width="11" bestFit="1" customWidth="1"/>
    <col min="5" max="5" width="13.6328125" bestFit="1" customWidth="1"/>
    <col min="6" max="6" width="13.26953125" bestFit="1" customWidth="1"/>
    <col min="10" max="10" width="8.1796875" bestFit="1" customWidth="1"/>
    <col min="11" max="11" width="10" bestFit="1" customWidth="1"/>
    <col min="12" max="12" width="9.54296875" customWidth="1"/>
    <col min="14" max="14" width="9.453125" customWidth="1"/>
    <col min="18" max="18" width="17.90625" bestFit="1" customWidth="1"/>
    <col min="19" max="19" width="14.26953125" bestFit="1" customWidth="1"/>
    <col min="21" max="21" width="19.26953125" bestFit="1" customWidth="1"/>
    <col min="22" max="22" width="16.54296875" bestFit="1" customWidth="1"/>
    <col min="25" max="25" width="27.36328125" bestFit="1" customWidth="1"/>
    <col min="26" max="26" width="13.81640625" bestFit="1" customWidth="1"/>
    <col min="28" max="28" width="21.453125" bestFit="1" customWidth="1"/>
  </cols>
  <sheetData>
    <row r="1" spans="1:26" ht="26" x14ac:dyDescent="0.6">
      <c r="A1" s="74" t="str" cm="1">
        <f t="array" aca="1" ref="A1" ca="1">MID(CELL("nomefile",A1),FIND("]",CELL("nomefile",A1))+1,255)</f>
        <v>Febbraio 2021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51"/>
    </row>
    <row r="2" spans="1:26" ht="15" customHeight="1" x14ac:dyDescent="0.35">
      <c r="D2" s="76" t="s">
        <v>44</v>
      </c>
      <c r="E2" s="76"/>
      <c r="F2" s="76"/>
      <c r="G2" s="76"/>
      <c r="H2" s="77" t="s">
        <v>45</v>
      </c>
      <c r="I2" s="77"/>
      <c r="J2" s="78" t="s">
        <v>48</v>
      </c>
      <c r="K2" s="78"/>
      <c r="L2" s="78"/>
      <c r="M2" s="78"/>
      <c r="N2" s="78"/>
      <c r="O2" s="78"/>
      <c r="P2" s="79" t="s">
        <v>8</v>
      </c>
      <c r="Q2" s="80"/>
      <c r="S2" s="1" t="s">
        <v>17</v>
      </c>
    </row>
    <row r="3" spans="1:26" ht="29.5" thickBot="1" x14ac:dyDescent="0.4">
      <c r="D3" s="19" t="s">
        <v>49</v>
      </c>
      <c r="E3" s="4" t="s">
        <v>54</v>
      </c>
      <c r="F3" s="19" t="s">
        <v>52</v>
      </c>
      <c r="G3" s="4" t="s">
        <v>0</v>
      </c>
      <c r="H3" s="5" t="s">
        <v>46</v>
      </c>
      <c r="I3" s="5" t="s">
        <v>47</v>
      </c>
      <c r="J3" s="6" t="s">
        <v>50</v>
      </c>
      <c r="K3" s="6" t="s">
        <v>11</v>
      </c>
      <c r="L3" s="6" t="s">
        <v>51</v>
      </c>
      <c r="M3" s="6" t="s">
        <v>12</v>
      </c>
      <c r="N3" s="6" t="s">
        <v>10</v>
      </c>
      <c r="O3" s="6" t="s">
        <v>0</v>
      </c>
      <c r="P3" s="7"/>
      <c r="Q3" s="7" t="s">
        <v>26</v>
      </c>
      <c r="R3" s="52" t="s">
        <v>25</v>
      </c>
      <c r="S3" s="2">
        <f>V23</f>
        <v>0</v>
      </c>
    </row>
    <row r="4" spans="1:26" ht="15" customHeight="1" x14ac:dyDescent="0.45">
      <c r="A4" s="64" t="s">
        <v>9</v>
      </c>
      <c r="B4" s="8">
        <v>44228</v>
      </c>
      <c r="C4" s="3" t="s">
        <v>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21"/>
      <c r="R4" s="20">
        <f t="shared" ref="R4:R10" si="0">SUM(D4:Q4)</f>
        <v>0</v>
      </c>
      <c r="U4" s="67" t="s">
        <v>18</v>
      </c>
      <c r="V4" s="26" t="s">
        <v>27</v>
      </c>
      <c r="W4" s="10"/>
      <c r="Y4" s="48" t="s">
        <v>40</v>
      </c>
      <c r="Z4" s="48">
        <f>SUM(W13:W21)+R12+R21+R30+R39+R48+R57</f>
        <v>0</v>
      </c>
    </row>
    <row r="5" spans="1:26" ht="15" customHeight="1" x14ac:dyDescent="0.35">
      <c r="A5" s="64"/>
      <c r="B5" s="8">
        <v>44229</v>
      </c>
      <c r="C5" s="3" t="s">
        <v>2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20"/>
      <c r="R5" s="20">
        <f t="shared" si="0"/>
        <v>0</v>
      </c>
      <c r="U5" s="68"/>
      <c r="V5" s="31"/>
      <c r="W5" s="11"/>
    </row>
    <row r="6" spans="1:26" ht="15" customHeight="1" x14ac:dyDescent="0.45">
      <c r="A6" s="64"/>
      <c r="B6" s="8">
        <v>44230</v>
      </c>
      <c r="C6" s="3" t="s">
        <v>3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20">
        <f t="shared" si="0"/>
        <v>0</v>
      </c>
      <c r="U6" s="68"/>
      <c r="V6" s="31"/>
      <c r="W6" s="11"/>
      <c r="Y6" s="48" t="s">
        <v>42</v>
      </c>
      <c r="Z6" s="48">
        <f>W11-Z4</f>
        <v>0</v>
      </c>
    </row>
    <row r="7" spans="1:26" ht="15" customHeight="1" x14ac:dyDescent="0.35">
      <c r="A7" s="64"/>
      <c r="B7" s="8">
        <v>44231</v>
      </c>
      <c r="C7" s="3" t="s">
        <v>4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20"/>
      <c r="R7" s="20">
        <f t="shared" si="0"/>
        <v>0</v>
      </c>
      <c r="U7" s="68"/>
      <c r="V7" s="31"/>
      <c r="W7" s="11"/>
    </row>
    <row r="8" spans="1:26" ht="15" customHeight="1" x14ac:dyDescent="0.35">
      <c r="A8" s="64"/>
      <c r="B8" s="8">
        <v>44232</v>
      </c>
      <c r="C8" s="3" t="s">
        <v>5</v>
      </c>
      <c r="D8" s="18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>
        <f t="shared" si="0"/>
        <v>0</v>
      </c>
      <c r="U8" s="68"/>
      <c r="V8" s="31"/>
      <c r="W8" s="11"/>
    </row>
    <row r="9" spans="1:26" ht="15" customHeight="1" x14ac:dyDescent="0.35">
      <c r="A9" s="64"/>
      <c r="B9" s="8">
        <v>44233</v>
      </c>
      <c r="C9" s="3" t="s">
        <v>6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20"/>
      <c r="R9" s="20">
        <f t="shared" si="0"/>
        <v>0</v>
      </c>
      <c r="U9" s="68"/>
      <c r="V9" s="31"/>
      <c r="W9" s="11"/>
    </row>
    <row r="10" spans="1:26" ht="15" customHeight="1" thickBot="1" x14ac:dyDescent="0.4">
      <c r="A10" s="64"/>
      <c r="B10" s="8">
        <v>44234</v>
      </c>
      <c r="C10" s="3" t="s">
        <v>7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22"/>
      <c r="R10" s="20">
        <f t="shared" si="0"/>
        <v>0</v>
      </c>
      <c r="U10" s="68"/>
      <c r="V10" s="31"/>
      <c r="W10" s="11"/>
    </row>
    <row r="11" spans="1:26" ht="15" thickBot="1" x14ac:dyDescent="0.4">
      <c r="A11" s="64"/>
      <c r="C11" s="3" t="s">
        <v>13</v>
      </c>
      <c r="D11" s="35">
        <f>SUM(D4:D10)</f>
        <v>0</v>
      </c>
      <c r="E11" s="36">
        <f t="shared" ref="E11:P11" si="1">SUM(E4:E10)</f>
        <v>0</v>
      </c>
      <c r="F11" s="36">
        <f t="shared" si="1"/>
        <v>0</v>
      </c>
      <c r="G11" s="36">
        <f t="shared" si="1"/>
        <v>0</v>
      </c>
      <c r="H11" s="37">
        <f t="shared" si="1"/>
        <v>0</v>
      </c>
      <c r="I11" s="37">
        <f t="shared" si="1"/>
        <v>0</v>
      </c>
      <c r="J11" s="38">
        <f t="shared" si="1"/>
        <v>0</v>
      </c>
      <c r="K11" s="38">
        <f t="shared" si="1"/>
        <v>0</v>
      </c>
      <c r="L11" s="38">
        <f t="shared" si="1"/>
        <v>0</v>
      </c>
      <c r="M11" s="38">
        <f t="shared" si="1"/>
        <v>0</v>
      </c>
      <c r="N11" s="38">
        <f t="shared" si="1"/>
        <v>0</v>
      </c>
      <c r="O11" s="38">
        <f t="shared" si="1"/>
        <v>0</v>
      </c>
      <c r="P11" s="23">
        <f t="shared" si="1"/>
        <v>0</v>
      </c>
      <c r="Q11" s="23">
        <f>SUM(Q4:Q10)</f>
        <v>0</v>
      </c>
      <c r="R11" s="24" t="s">
        <v>56</v>
      </c>
      <c r="S11" s="2" t="s">
        <v>21</v>
      </c>
      <c r="U11" s="69"/>
      <c r="V11" s="49" t="s">
        <v>13</v>
      </c>
      <c r="W11" s="9">
        <f>SUM(W4:W10)</f>
        <v>0</v>
      </c>
    </row>
    <row r="12" spans="1:26" ht="15" thickBot="1" x14ac:dyDescent="0.4">
      <c r="A12" s="29"/>
      <c r="C12" s="3"/>
      <c r="D12" s="70">
        <f>SUM(D11:G11)</f>
        <v>0</v>
      </c>
      <c r="E12" s="71"/>
      <c r="F12" s="71"/>
      <c r="G12" s="71"/>
      <c r="H12" s="72">
        <f>SUM(H11:I11)</f>
        <v>0</v>
      </c>
      <c r="I12" s="72"/>
      <c r="J12" s="73">
        <f>SUM(J11:O11)</f>
        <v>0</v>
      </c>
      <c r="K12" s="73"/>
      <c r="L12" s="73"/>
      <c r="M12" s="73"/>
      <c r="N12" s="73"/>
      <c r="O12" s="73"/>
      <c r="P12" s="62">
        <f>SUM(P11:Q11)</f>
        <v>0</v>
      </c>
      <c r="Q12" s="63"/>
      <c r="R12" s="9">
        <f t="shared" ref="R12:R19" si="2">SUM(D12:Q12)</f>
        <v>0</v>
      </c>
      <c r="S12" s="9">
        <f>$S$3-R12</f>
        <v>0</v>
      </c>
      <c r="U12" s="1"/>
      <c r="V12" s="1"/>
    </row>
    <row r="13" spans="1:26" x14ac:dyDescent="0.35">
      <c r="A13" s="29"/>
      <c r="B13" s="8">
        <v>44235</v>
      </c>
      <c r="C13" s="3" t="s">
        <v>1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0"/>
      <c r="Q13" s="21"/>
      <c r="R13" s="33">
        <f t="shared" si="2"/>
        <v>0</v>
      </c>
      <c r="U13" s="67" t="s">
        <v>19</v>
      </c>
      <c r="V13" s="26" t="s">
        <v>20</v>
      </c>
      <c r="W13" s="10"/>
    </row>
    <row r="14" spans="1:26" x14ac:dyDescent="0.35">
      <c r="A14" s="64" t="s">
        <v>14</v>
      </c>
      <c r="B14" s="8">
        <v>44236</v>
      </c>
      <c r="C14" s="3" t="s">
        <v>2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>
        <f t="shared" si="2"/>
        <v>0</v>
      </c>
      <c r="U14" s="68"/>
      <c r="V14" s="31" t="s">
        <v>35</v>
      </c>
      <c r="W14" s="11"/>
    </row>
    <row r="15" spans="1:26" x14ac:dyDescent="0.35">
      <c r="A15" s="64"/>
      <c r="B15" s="8">
        <v>44237</v>
      </c>
      <c r="C15" s="3" t="s">
        <v>3</v>
      </c>
      <c r="D15" s="20"/>
      <c r="E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>
        <f t="shared" si="2"/>
        <v>0</v>
      </c>
      <c r="U15" s="68"/>
      <c r="V15" s="31" t="s">
        <v>37</v>
      </c>
      <c r="W15" s="11"/>
    </row>
    <row r="16" spans="1:26" ht="15.75" customHeight="1" x14ac:dyDescent="0.35">
      <c r="A16" s="64"/>
      <c r="B16" s="8">
        <v>44238</v>
      </c>
      <c r="C16" s="3" t="s">
        <v>4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>
        <f t="shared" si="2"/>
        <v>0</v>
      </c>
      <c r="U16" s="68"/>
      <c r="V16" s="31" t="s">
        <v>38</v>
      </c>
      <c r="W16" s="11"/>
    </row>
    <row r="17" spans="1:27" x14ac:dyDescent="0.35">
      <c r="A17" s="64"/>
      <c r="B17" s="8">
        <v>44239</v>
      </c>
      <c r="C17" s="3" t="s">
        <v>5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>
        <f t="shared" si="2"/>
        <v>0</v>
      </c>
      <c r="U17" s="68"/>
      <c r="V17" s="31" t="s">
        <v>36</v>
      </c>
      <c r="W17" s="11"/>
    </row>
    <row r="18" spans="1:27" x14ac:dyDescent="0.35">
      <c r="A18" s="64"/>
      <c r="B18" s="8">
        <v>44240</v>
      </c>
      <c r="C18" s="3" t="s">
        <v>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>
        <f t="shared" si="2"/>
        <v>0</v>
      </c>
      <c r="U18" s="68"/>
      <c r="V18" s="31"/>
      <c r="W18" s="11"/>
      <c r="X18" s="13"/>
    </row>
    <row r="19" spans="1:27" ht="15.75" customHeight="1" thickBot="1" x14ac:dyDescent="0.4">
      <c r="A19" s="64"/>
      <c r="B19" s="8">
        <v>44241</v>
      </c>
      <c r="C19" s="3" t="s">
        <v>7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34">
        <f t="shared" si="2"/>
        <v>0</v>
      </c>
      <c r="U19" s="68"/>
      <c r="V19" s="45"/>
      <c r="W19" s="11"/>
      <c r="X19" s="13"/>
    </row>
    <row r="20" spans="1:27" ht="15" thickBot="1" x14ac:dyDescent="0.4">
      <c r="A20" s="64"/>
      <c r="C20" s="3" t="s">
        <v>13</v>
      </c>
      <c r="D20" s="14">
        <f t="shared" ref="D20:Q20" si="3">SUM(D13:D19)</f>
        <v>0</v>
      </c>
      <c r="E20" s="14">
        <f t="shared" si="3"/>
        <v>0</v>
      </c>
      <c r="F20" s="14">
        <f t="shared" si="3"/>
        <v>0</v>
      </c>
      <c r="G20" s="14">
        <f t="shared" si="3"/>
        <v>0</v>
      </c>
      <c r="H20" s="15">
        <f t="shared" si="3"/>
        <v>0</v>
      </c>
      <c r="I20" s="15">
        <f t="shared" si="3"/>
        <v>0</v>
      </c>
      <c r="J20" s="16">
        <f t="shared" si="3"/>
        <v>0</v>
      </c>
      <c r="K20" s="16">
        <f t="shared" si="3"/>
        <v>0</v>
      </c>
      <c r="L20" s="16">
        <f t="shared" si="3"/>
        <v>0</v>
      </c>
      <c r="M20" s="16">
        <f t="shared" si="3"/>
        <v>0</v>
      </c>
      <c r="N20" s="16">
        <f t="shared" si="3"/>
        <v>0</v>
      </c>
      <c r="O20" s="16">
        <f t="shared" si="3"/>
        <v>0</v>
      </c>
      <c r="P20" s="25">
        <f t="shared" si="3"/>
        <v>0</v>
      </c>
      <c r="Q20" s="25">
        <f t="shared" si="3"/>
        <v>0</v>
      </c>
      <c r="R20" s="24" t="s">
        <v>56</v>
      </c>
      <c r="S20" s="2" t="s">
        <v>22</v>
      </c>
      <c r="U20" s="68"/>
      <c r="V20" s="45"/>
      <c r="W20" s="11"/>
    </row>
    <row r="21" spans="1:27" ht="15" thickBot="1" x14ac:dyDescent="0.4">
      <c r="A21" s="29"/>
      <c r="C21" s="3"/>
      <c r="D21" s="71">
        <f>SUM(D20:G20)</f>
        <v>0</v>
      </c>
      <c r="E21" s="71"/>
      <c r="F21" s="71"/>
      <c r="G21" s="71"/>
      <c r="H21" s="72">
        <f>SUM(H20:I20)</f>
        <v>0</v>
      </c>
      <c r="I21" s="72"/>
      <c r="J21" s="73">
        <f>SUM(J20:O20)</f>
        <v>0</v>
      </c>
      <c r="K21" s="73"/>
      <c r="L21" s="73"/>
      <c r="M21" s="73"/>
      <c r="N21" s="73"/>
      <c r="O21" s="73"/>
      <c r="P21" s="62">
        <f>SUM(P20:Q20)</f>
        <v>0</v>
      </c>
      <c r="Q21" s="63"/>
      <c r="R21" s="9">
        <f t="shared" ref="R21:R28" si="4">SUM(D21:Q21)</f>
        <v>0</v>
      </c>
      <c r="S21" s="9">
        <f>S12-R21</f>
        <v>0</v>
      </c>
      <c r="U21" s="69"/>
      <c r="V21" s="46"/>
      <c r="W21" s="47"/>
      <c r="X21" s="13"/>
    </row>
    <row r="22" spans="1:27" ht="15" thickBot="1" x14ac:dyDescent="0.4">
      <c r="A22" s="29"/>
      <c r="B22" s="8">
        <v>44242</v>
      </c>
      <c r="C22" s="3" t="s">
        <v>1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0"/>
      <c r="Q22" s="21"/>
      <c r="R22" s="33">
        <f t="shared" si="4"/>
        <v>0</v>
      </c>
      <c r="Z22" t="s">
        <v>44</v>
      </c>
      <c r="AA22">
        <f>D59</f>
        <v>0</v>
      </c>
    </row>
    <row r="23" spans="1:27" ht="15" thickBot="1" x14ac:dyDescent="0.4">
      <c r="A23" s="64" t="s">
        <v>15</v>
      </c>
      <c r="B23" s="8">
        <v>44243</v>
      </c>
      <c r="C23" s="3" t="s">
        <v>2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>
        <f t="shared" si="4"/>
        <v>0</v>
      </c>
      <c r="U23" s="12" t="s">
        <v>17</v>
      </c>
      <c r="V23" s="65">
        <f t="shared" ref="V23" si="5">W11-SUM(W13:W21)</f>
        <v>0</v>
      </c>
      <c r="W23" s="66"/>
      <c r="Z23" t="s">
        <v>45</v>
      </c>
      <c r="AA23">
        <f>H59</f>
        <v>0</v>
      </c>
    </row>
    <row r="24" spans="1:27" x14ac:dyDescent="0.35">
      <c r="A24" s="64"/>
      <c r="B24" s="8">
        <v>44244</v>
      </c>
      <c r="C24" s="3" t="s">
        <v>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>
        <f t="shared" si="4"/>
        <v>0</v>
      </c>
      <c r="Z24" t="s">
        <v>48</v>
      </c>
      <c r="AA24">
        <f>J59</f>
        <v>0</v>
      </c>
    </row>
    <row r="25" spans="1:27" x14ac:dyDescent="0.35">
      <c r="A25" s="64"/>
      <c r="B25" s="8">
        <v>44245</v>
      </c>
      <c r="C25" s="3" t="s">
        <v>4</v>
      </c>
      <c r="D25" s="20"/>
      <c r="E25" s="20"/>
      <c r="F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>
        <f t="shared" si="4"/>
        <v>0</v>
      </c>
      <c r="U25">
        <f>S3-S48</f>
        <v>0</v>
      </c>
      <c r="Z25" t="s">
        <v>53</v>
      </c>
      <c r="AA25">
        <f>P59</f>
        <v>0</v>
      </c>
    </row>
    <row r="26" spans="1:27" x14ac:dyDescent="0.35">
      <c r="A26" s="64"/>
      <c r="B26" s="8">
        <v>44246</v>
      </c>
      <c r="C26" s="3" t="s">
        <v>5</v>
      </c>
      <c r="D26" s="20"/>
      <c r="E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>
        <f t="shared" si="4"/>
        <v>0</v>
      </c>
      <c r="Z26" t="s">
        <v>83</v>
      </c>
      <c r="AA26">
        <f>W13</f>
        <v>0</v>
      </c>
    </row>
    <row r="27" spans="1:27" x14ac:dyDescent="0.35">
      <c r="A27" s="64"/>
      <c r="B27" s="8">
        <v>44247</v>
      </c>
      <c r="C27" s="3" t="s">
        <v>6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>
        <f t="shared" si="4"/>
        <v>0</v>
      </c>
      <c r="Z27" t="s">
        <v>84</v>
      </c>
      <c r="AA27">
        <f>SUM(W14:W17)</f>
        <v>0</v>
      </c>
    </row>
    <row r="28" spans="1:27" ht="15" customHeight="1" thickBot="1" x14ac:dyDescent="0.4">
      <c r="A28" s="64"/>
      <c r="B28" s="8">
        <v>44248</v>
      </c>
      <c r="C28" s="3" t="s">
        <v>7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34">
        <f t="shared" si="4"/>
        <v>0</v>
      </c>
    </row>
    <row r="29" spans="1:27" ht="15" thickBot="1" x14ac:dyDescent="0.4">
      <c r="A29" s="64"/>
      <c r="C29" s="3" t="s">
        <v>13</v>
      </c>
      <c r="D29" s="14">
        <f t="shared" ref="D29:Q29" si="6">SUM(D22:D28)</f>
        <v>0</v>
      </c>
      <c r="E29" s="14">
        <f>SUM(E22:E28)</f>
        <v>0</v>
      </c>
      <c r="F29" s="14">
        <f t="shared" si="6"/>
        <v>0</v>
      </c>
      <c r="G29" s="14">
        <f t="shared" si="6"/>
        <v>0</v>
      </c>
      <c r="H29" s="15">
        <f t="shared" si="6"/>
        <v>0</v>
      </c>
      <c r="I29" s="15">
        <f t="shared" si="6"/>
        <v>0</v>
      </c>
      <c r="J29" s="16">
        <f t="shared" si="6"/>
        <v>0</v>
      </c>
      <c r="K29" s="16">
        <f t="shared" si="6"/>
        <v>0</v>
      </c>
      <c r="L29" s="16">
        <f t="shared" si="6"/>
        <v>0</v>
      </c>
      <c r="M29" s="16">
        <f t="shared" si="6"/>
        <v>0</v>
      </c>
      <c r="N29" s="16">
        <f t="shared" si="6"/>
        <v>0</v>
      </c>
      <c r="O29" s="16">
        <f t="shared" si="6"/>
        <v>0</v>
      </c>
      <c r="P29" s="23">
        <f t="shared" si="6"/>
        <v>0</v>
      </c>
      <c r="Q29" s="23">
        <f t="shared" si="6"/>
        <v>0</v>
      </c>
      <c r="R29" s="24" t="s">
        <v>56</v>
      </c>
      <c r="S29" s="2" t="s">
        <v>23</v>
      </c>
    </row>
    <row r="30" spans="1:27" ht="15" thickBot="1" x14ac:dyDescent="0.4">
      <c r="A30" s="29"/>
      <c r="C30" s="3"/>
      <c r="D30" s="54">
        <f>SUM(D29:G29)</f>
        <v>0</v>
      </c>
      <c r="E30" s="55"/>
      <c r="F30" s="55"/>
      <c r="G30" s="56"/>
      <c r="H30" s="57">
        <f>SUM(H29:I29)</f>
        <v>0</v>
      </c>
      <c r="I30" s="58"/>
      <c r="J30" s="59">
        <f>SUM(J29:O29)</f>
        <v>0</v>
      </c>
      <c r="K30" s="60"/>
      <c r="L30" s="60"/>
      <c r="M30" s="60"/>
      <c r="N30" s="60"/>
      <c r="O30" s="61"/>
      <c r="P30" s="62">
        <f>SUM(P29:Q29)</f>
        <v>0</v>
      </c>
      <c r="Q30" s="63"/>
      <c r="R30" s="9">
        <f t="shared" ref="R30:R37" si="7">SUM(D30:Q30)</f>
        <v>0</v>
      </c>
      <c r="S30" s="9">
        <f>S21-R30</f>
        <v>0</v>
      </c>
    </row>
    <row r="31" spans="1:27" x14ac:dyDescent="0.35">
      <c r="A31" s="29"/>
      <c r="B31" s="8">
        <v>44249</v>
      </c>
      <c r="C31" s="3" t="s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0"/>
      <c r="Q31" s="21"/>
      <c r="R31" s="33">
        <f t="shared" si="7"/>
        <v>0</v>
      </c>
    </row>
    <row r="32" spans="1:27" x14ac:dyDescent="0.35">
      <c r="A32" s="64" t="s">
        <v>16</v>
      </c>
      <c r="B32" s="8">
        <v>44250</v>
      </c>
      <c r="C32" s="3" t="s">
        <v>2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>
        <f t="shared" si="7"/>
        <v>0</v>
      </c>
    </row>
    <row r="33" spans="1:19" x14ac:dyDescent="0.35">
      <c r="A33" s="64"/>
      <c r="B33" s="8">
        <v>44251</v>
      </c>
      <c r="C33" s="3" t="s">
        <v>3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>
        <f t="shared" si="7"/>
        <v>0</v>
      </c>
    </row>
    <row r="34" spans="1:19" x14ac:dyDescent="0.35">
      <c r="A34" s="64"/>
      <c r="B34" s="8">
        <v>44252</v>
      </c>
      <c r="C34" s="3" t="s">
        <v>4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>
        <f t="shared" si="7"/>
        <v>0</v>
      </c>
    </row>
    <row r="35" spans="1:19" x14ac:dyDescent="0.35">
      <c r="A35" s="64"/>
      <c r="B35" s="8">
        <v>44253</v>
      </c>
      <c r="C35" s="3" t="s">
        <v>5</v>
      </c>
      <c r="D35" s="20"/>
      <c r="F35" s="20"/>
      <c r="G35" s="20"/>
      <c r="H35" s="20"/>
      <c r="J35" s="20"/>
      <c r="K35" s="20"/>
      <c r="L35" s="20"/>
      <c r="N35" s="20"/>
      <c r="O35" s="20"/>
      <c r="P35" s="20"/>
      <c r="Q35" s="20"/>
      <c r="R35" s="20">
        <f t="shared" si="7"/>
        <v>0</v>
      </c>
    </row>
    <row r="36" spans="1:19" x14ac:dyDescent="0.35">
      <c r="A36" s="64"/>
      <c r="B36" s="8">
        <v>44254</v>
      </c>
      <c r="C36" s="3" t="s">
        <v>6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>
        <f t="shared" si="7"/>
        <v>0</v>
      </c>
    </row>
    <row r="37" spans="1:19" ht="15" customHeight="1" thickBot="1" x14ac:dyDescent="0.4">
      <c r="A37" s="64"/>
      <c r="B37" s="8">
        <v>44255</v>
      </c>
      <c r="C37" s="3" t="s">
        <v>7</v>
      </c>
      <c r="D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34">
        <f t="shared" si="7"/>
        <v>0</v>
      </c>
    </row>
    <row r="38" spans="1:19" ht="15" thickBot="1" x14ac:dyDescent="0.4">
      <c r="A38" s="64"/>
      <c r="C38" s="3" t="s">
        <v>13</v>
      </c>
      <c r="D38" s="14">
        <f>SUM(D31:D37)</f>
        <v>0</v>
      </c>
      <c r="E38" s="14">
        <f t="shared" ref="E38:Q38" si="8">SUM(E31:E37)</f>
        <v>0</v>
      </c>
      <c r="F38" s="14">
        <f t="shared" si="8"/>
        <v>0</v>
      </c>
      <c r="G38" s="14">
        <f t="shared" si="8"/>
        <v>0</v>
      </c>
      <c r="H38" s="15">
        <f t="shared" si="8"/>
        <v>0</v>
      </c>
      <c r="I38" s="15">
        <f t="shared" si="8"/>
        <v>0</v>
      </c>
      <c r="J38" s="16">
        <f t="shared" si="8"/>
        <v>0</v>
      </c>
      <c r="K38" s="16">
        <f t="shared" si="8"/>
        <v>0</v>
      </c>
      <c r="L38" s="16">
        <f t="shared" si="8"/>
        <v>0</v>
      </c>
      <c r="M38" s="16">
        <f t="shared" si="8"/>
        <v>0</v>
      </c>
      <c r="N38" s="16">
        <f t="shared" si="8"/>
        <v>0</v>
      </c>
      <c r="O38" s="16">
        <f t="shared" si="8"/>
        <v>0</v>
      </c>
      <c r="P38" s="25">
        <f t="shared" si="8"/>
        <v>0</v>
      </c>
      <c r="Q38" s="25">
        <f t="shared" si="8"/>
        <v>0</v>
      </c>
      <c r="R38" s="24" t="s">
        <v>56</v>
      </c>
      <c r="S38" s="2" t="s">
        <v>24</v>
      </c>
    </row>
    <row r="39" spans="1:19" ht="15" thickBot="1" x14ac:dyDescent="0.4">
      <c r="A39" s="29"/>
      <c r="C39" s="3"/>
      <c r="D39" s="54">
        <f t="shared" ref="D39" si="9">SUM(D38:G38)</f>
        <v>0</v>
      </c>
      <c r="E39" s="55"/>
      <c r="F39" s="55"/>
      <c r="G39" s="56"/>
      <c r="H39" s="57">
        <f>SUM(H38:I38)</f>
        <v>0</v>
      </c>
      <c r="I39" s="58"/>
      <c r="J39" s="59">
        <f>SUM(J38:O38)</f>
        <v>0</v>
      </c>
      <c r="K39" s="60"/>
      <c r="L39" s="60"/>
      <c r="M39" s="60"/>
      <c r="N39" s="60"/>
      <c r="O39" s="61"/>
      <c r="P39" s="62">
        <f>SUM(P38:Q38)</f>
        <v>0</v>
      </c>
      <c r="Q39" s="63"/>
      <c r="R39" s="9">
        <f t="shared" ref="R39:R46" si="10">SUM(D39:Q39)</f>
        <v>0</v>
      </c>
      <c r="S39" s="9">
        <f>S30-R39</f>
        <v>0</v>
      </c>
    </row>
    <row r="40" spans="1:19" x14ac:dyDescent="0.35">
      <c r="A40" s="29"/>
      <c r="B40" s="8" t="s">
        <v>33</v>
      </c>
      <c r="C40" s="3" t="s">
        <v>1</v>
      </c>
      <c r="D40" s="27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33">
        <f t="shared" si="10"/>
        <v>0</v>
      </c>
    </row>
    <row r="41" spans="1:19" ht="15" customHeight="1" x14ac:dyDescent="0.35">
      <c r="A41" s="64" t="s">
        <v>29</v>
      </c>
      <c r="B41" s="8" t="s">
        <v>33</v>
      </c>
      <c r="C41" s="3" t="s">
        <v>2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>
        <f t="shared" si="10"/>
        <v>0</v>
      </c>
    </row>
    <row r="42" spans="1:19" x14ac:dyDescent="0.35">
      <c r="A42" s="64"/>
      <c r="B42" s="8" t="s">
        <v>33</v>
      </c>
      <c r="C42" s="3" t="s">
        <v>3</v>
      </c>
      <c r="D42" s="28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>
        <f t="shared" si="10"/>
        <v>0</v>
      </c>
    </row>
    <row r="43" spans="1:19" x14ac:dyDescent="0.35">
      <c r="A43" s="64"/>
      <c r="B43" s="8" t="s">
        <v>33</v>
      </c>
      <c r="C43" s="3" t="s">
        <v>4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>
        <f t="shared" si="10"/>
        <v>0</v>
      </c>
    </row>
    <row r="44" spans="1:19" ht="16.5" customHeight="1" x14ac:dyDescent="0.35">
      <c r="A44" s="64"/>
      <c r="B44" s="8" t="s">
        <v>33</v>
      </c>
      <c r="C44" s="3" t="s">
        <v>5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>
        <f t="shared" si="10"/>
        <v>0</v>
      </c>
    </row>
    <row r="45" spans="1:19" x14ac:dyDescent="0.35">
      <c r="A45" s="64"/>
      <c r="B45" s="8" t="s">
        <v>33</v>
      </c>
      <c r="C45" s="3" t="s">
        <v>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>
        <f t="shared" si="10"/>
        <v>0</v>
      </c>
    </row>
    <row r="46" spans="1:19" ht="15" thickBot="1" x14ac:dyDescent="0.4">
      <c r="A46" s="50"/>
      <c r="B46" s="8" t="s">
        <v>33</v>
      </c>
      <c r="C46" s="3" t="s">
        <v>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34">
        <f t="shared" si="10"/>
        <v>0</v>
      </c>
    </row>
    <row r="47" spans="1:19" ht="15" thickBot="1" x14ac:dyDescent="0.4">
      <c r="A47" s="50"/>
      <c r="B47" s="8"/>
      <c r="C47" s="3" t="s">
        <v>13</v>
      </c>
      <c r="D47" s="14">
        <f t="shared" ref="D47:Q47" si="11">SUM(D40:D46)</f>
        <v>0</v>
      </c>
      <c r="E47" s="14">
        <f t="shared" si="11"/>
        <v>0</v>
      </c>
      <c r="F47" s="14">
        <f t="shared" si="11"/>
        <v>0</v>
      </c>
      <c r="G47" s="14">
        <f t="shared" si="11"/>
        <v>0</v>
      </c>
      <c r="H47" s="15">
        <f t="shared" si="11"/>
        <v>0</v>
      </c>
      <c r="I47" s="15">
        <f t="shared" si="11"/>
        <v>0</v>
      </c>
      <c r="J47" s="16">
        <f t="shared" si="11"/>
        <v>0</v>
      </c>
      <c r="K47" s="16">
        <f t="shared" si="11"/>
        <v>0</v>
      </c>
      <c r="L47" s="16">
        <f t="shared" si="11"/>
        <v>0</v>
      </c>
      <c r="M47" s="16">
        <f t="shared" si="11"/>
        <v>0</v>
      </c>
      <c r="N47" s="16">
        <f t="shared" si="11"/>
        <v>0</v>
      </c>
      <c r="O47" s="16">
        <f t="shared" si="11"/>
        <v>0</v>
      </c>
      <c r="P47" s="17">
        <f t="shared" si="11"/>
        <v>0</v>
      </c>
      <c r="Q47" s="17">
        <f t="shared" si="11"/>
        <v>0</v>
      </c>
      <c r="R47" s="24" t="s">
        <v>56</v>
      </c>
      <c r="S47" s="2" t="s">
        <v>28</v>
      </c>
    </row>
    <row r="48" spans="1:19" ht="15" thickBot="1" x14ac:dyDescent="0.4">
      <c r="C48" s="3"/>
      <c r="D48" s="54">
        <f>SUM(D47:G47)</f>
        <v>0</v>
      </c>
      <c r="E48" s="55"/>
      <c r="F48" s="55"/>
      <c r="G48" s="56"/>
      <c r="H48" s="57">
        <f>SUM(H47:I47)</f>
        <v>0</v>
      </c>
      <c r="I48" s="58"/>
      <c r="J48" s="59">
        <f>SUM(J47:O47)</f>
        <v>0</v>
      </c>
      <c r="K48" s="60"/>
      <c r="L48" s="60"/>
      <c r="M48" s="60"/>
      <c r="N48" s="60"/>
      <c r="O48" s="61"/>
      <c r="P48" s="62">
        <f>SUM(P47:Q47)</f>
        <v>0</v>
      </c>
      <c r="Q48" s="63"/>
      <c r="R48" s="9">
        <f t="shared" ref="R48:R55" si="12">SUM(D48:Q48)</f>
        <v>0</v>
      </c>
      <c r="S48" s="9">
        <f>S39-R48</f>
        <v>0</v>
      </c>
    </row>
    <row r="49" spans="1:19" ht="15.75" customHeight="1" x14ac:dyDescent="0.35">
      <c r="A49" s="64" t="s">
        <v>30</v>
      </c>
      <c r="B49" s="8" t="s">
        <v>33</v>
      </c>
      <c r="C49" s="32" t="s">
        <v>1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33">
        <f t="shared" si="12"/>
        <v>0</v>
      </c>
    </row>
    <row r="50" spans="1:19" ht="15.75" customHeight="1" x14ac:dyDescent="0.35">
      <c r="A50" s="64"/>
      <c r="B50" s="8" t="s">
        <v>33</v>
      </c>
      <c r="C50" s="32" t="s">
        <v>2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>
        <f t="shared" si="12"/>
        <v>0</v>
      </c>
    </row>
    <row r="51" spans="1:19" ht="15.75" customHeight="1" x14ac:dyDescent="0.35">
      <c r="A51" s="64"/>
      <c r="B51" s="8" t="s">
        <v>33</v>
      </c>
      <c r="C51" s="32" t="s">
        <v>3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>
        <f t="shared" si="12"/>
        <v>0</v>
      </c>
    </row>
    <row r="52" spans="1:19" ht="15.75" customHeight="1" x14ac:dyDescent="0.35">
      <c r="A52" s="64"/>
      <c r="B52" s="8" t="s">
        <v>33</v>
      </c>
      <c r="C52" s="32" t="s">
        <v>4</v>
      </c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>
        <f t="shared" si="12"/>
        <v>0</v>
      </c>
    </row>
    <row r="53" spans="1:19" ht="15.75" customHeight="1" x14ac:dyDescent="0.35">
      <c r="A53" s="64"/>
      <c r="B53" s="8" t="s">
        <v>33</v>
      </c>
      <c r="C53" s="32" t="s">
        <v>5</v>
      </c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>
        <f t="shared" si="12"/>
        <v>0</v>
      </c>
    </row>
    <row r="54" spans="1:19" ht="15.75" customHeight="1" x14ac:dyDescent="0.35">
      <c r="A54" s="64"/>
      <c r="B54" s="8" t="s">
        <v>33</v>
      </c>
      <c r="C54" s="32" t="s">
        <v>6</v>
      </c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>
        <f t="shared" si="12"/>
        <v>0</v>
      </c>
    </row>
    <row r="55" spans="1:19" ht="15.75" customHeight="1" thickBot="1" x14ac:dyDescent="0.4">
      <c r="A55" s="64"/>
      <c r="B55" s="8" t="s">
        <v>33</v>
      </c>
      <c r="C55" s="32" t="s">
        <v>7</v>
      </c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0">
        <f t="shared" si="12"/>
        <v>0</v>
      </c>
    </row>
    <row r="56" spans="1:19" ht="15" thickBot="1" x14ac:dyDescent="0.4">
      <c r="A56" s="29"/>
      <c r="B56" s="8"/>
      <c r="C56" s="3" t="s">
        <v>13</v>
      </c>
      <c r="D56" s="39">
        <f t="shared" ref="D56:F56" si="13">SUM(D49:D55)</f>
        <v>0</v>
      </c>
      <c r="E56" s="39">
        <f t="shared" si="13"/>
        <v>0</v>
      </c>
      <c r="F56" s="39">
        <f t="shared" si="13"/>
        <v>0</v>
      </c>
      <c r="G56" s="39">
        <f>SUM(G49:G55)</f>
        <v>0</v>
      </c>
      <c r="H56" s="37">
        <f t="shared" ref="H56:Q56" si="14">SUM(H49:H55)</f>
        <v>0</v>
      </c>
      <c r="I56" s="37">
        <f t="shared" si="14"/>
        <v>0</v>
      </c>
      <c r="J56" s="38">
        <f t="shared" si="14"/>
        <v>0</v>
      </c>
      <c r="K56" s="38">
        <f t="shared" si="14"/>
        <v>0</v>
      </c>
      <c r="L56" s="38">
        <f t="shared" si="14"/>
        <v>0</v>
      </c>
      <c r="M56" s="38">
        <f t="shared" si="14"/>
        <v>0</v>
      </c>
      <c r="N56" s="38">
        <f t="shared" si="14"/>
        <v>0</v>
      </c>
      <c r="O56" s="38">
        <f t="shared" si="14"/>
        <v>0</v>
      </c>
      <c r="P56" s="40">
        <f t="shared" si="14"/>
        <v>0</v>
      </c>
      <c r="Q56" s="40">
        <f t="shared" si="14"/>
        <v>0</v>
      </c>
      <c r="R56" s="24" t="s">
        <v>56</v>
      </c>
      <c r="S56" s="2" t="s">
        <v>39</v>
      </c>
    </row>
    <row r="57" spans="1:19" ht="15" thickBot="1" x14ac:dyDescent="0.4">
      <c r="A57" s="29"/>
      <c r="C57" s="3"/>
      <c r="D57" s="54">
        <f>SUM(D56:G56)</f>
        <v>0</v>
      </c>
      <c r="E57" s="55"/>
      <c r="F57" s="55"/>
      <c r="G57" s="56"/>
      <c r="H57" s="57">
        <f>SUM(H56:I56)</f>
        <v>0</v>
      </c>
      <c r="I57" s="58"/>
      <c r="J57" s="59">
        <f>SUM(J56:O56)</f>
        <v>0</v>
      </c>
      <c r="K57" s="60"/>
      <c r="L57" s="60"/>
      <c r="M57" s="60"/>
      <c r="N57" s="60"/>
      <c r="O57" s="61"/>
      <c r="P57" s="62">
        <f>SUM(P56:Q56)</f>
        <v>0</v>
      </c>
      <c r="Q57" s="63"/>
      <c r="R57" s="9">
        <f>SUM(D57:Q57)</f>
        <v>0</v>
      </c>
      <c r="S57" s="9">
        <f>S48-R57</f>
        <v>0</v>
      </c>
    </row>
    <row r="58" spans="1:19" x14ac:dyDescent="0.35">
      <c r="A58" s="29"/>
    </row>
    <row r="59" spans="1:19" x14ac:dyDescent="0.35">
      <c r="A59" s="29"/>
      <c r="B59" t="s">
        <v>55</v>
      </c>
      <c r="D59" s="54">
        <f t="shared" ref="D59" si="15">D12+D21+D30+D39+D48+D57</f>
        <v>0</v>
      </c>
      <c r="E59" s="55"/>
      <c r="F59" s="55"/>
      <c r="G59" s="56"/>
      <c r="H59" s="57">
        <f t="shared" ref="H59" si="16">H12+H21+H30+H39+H48+H57</f>
        <v>0</v>
      </c>
      <c r="I59" s="58"/>
      <c r="J59" s="59">
        <f t="shared" ref="J59" si="17">J12+J21+J30+J39+J48+J57</f>
        <v>0</v>
      </c>
      <c r="K59" s="60"/>
      <c r="L59" s="60"/>
      <c r="M59" s="60"/>
      <c r="N59" s="60"/>
      <c r="O59" s="61"/>
      <c r="P59" s="62">
        <f t="shared" ref="P59" si="18">P12+P21+P30+P39+P48+P57</f>
        <v>0</v>
      </c>
      <c r="Q59" s="63"/>
      <c r="R59">
        <f>R12+R21+R30+R39+R48+R57</f>
        <v>0</v>
      </c>
    </row>
  </sheetData>
  <mergeCells count="42">
    <mergeCell ref="A1:P1"/>
    <mergeCell ref="D2:G2"/>
    <mergeCell ref="H2:I2"/>
    <mergeCell ref="J2:O2"/>
    <mergeCell ref="P2:Q2"/>
    <mergeCell ref="P21:Q21"/>
    <mergeCell ref="A23:A29"/>
    <mergeCell ref="U4:U11"/>
    <mergeCell ref="D12:G12"/>
    <mergeCell ref="H12:I12"/>
    <mergeCell ref="J12:O12"/>
    <mergeCell ref="P12:Q12"/>
    <mergeCell ref="U13:U21"/>
    <mergeCell ref="A4:A11"/>
    <mergeCell ref="A32:A38"/>
    <mergeCell ref="A14:A20"/>
    <mergeCell ref="D21:G21"/>
    <mergeCell ref="H21:I21"/>
    <mergeCell ref="J21:O21"/>
    <mergeCell ref="V23:W23"/>
    <mergeCell ref="D30:G30"/>
    <mergeCell ref="H30:I30"/>
    <mergeCell ref="J30:O30"/>
    <mergeCell ref="P30:Q30"/>
    <mergeCell ref="A41:A45"/>
    <mergeCell ref="D48:G48"/>
    <mergeCell ref="H48:I48"/>
    <mergeCell ref="J48:O48"/>
    <mergeCell ref="P48:Q48"/>
    <mergeCell ref="D59:G59"/>
    <mergeCell ref="H59:I59"/>
    <mergeCell ref="J59:O59"/>
    <mergeCell ref="P59:Q59"/>
    <mergeCell ref="D39:G39"/>
    <mergeCell ref="H39:I39"/>
    <mergeCell ref="J39:O39"/>
    <mergeCell ref="P39:Q39"/>
    <mergeCell ref="A49:A55"/>
    <mergeCell ref="D57:G57"/>
    <mergeCell ref="H57:I57"/>
    <mergeCell ref="J57:O57"/>
    <mergeCell ref="P57:Q57"/>
  </mergeCells>
  <conditionalFormatting sqref="Z6">
    <cfRule type="cellIs" dxfId="43" priority="1" operator="lessThan">
      <formula>-200</formula>
    </cfRule>
    <cfRule type="cellIs" dxfId="42" priority="2" operator="between">
      <formula>-200</formula>
      <formula>0</formula>
    </cfRule>
    <cfRule type="cellIs" dxfId="41" priority="3" operator="between">
      <formula>0</formula>
      <formula>200</formula>
    </cfRule>
    <cfRule type="cellIs" dxfId="40" priority="4" operator="greaterThan">
      <formula>200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362F4-7F2E-4F01-B096-1F45B8A0DEF5}">
  <sheetPr codeName="Foglio3"/>
  <dimension ref="A1:AA59"/>
  <sheetViews>
    <sheetView zoomScale="55" zoomScaleNormal="55" workbookViewId="0">
      <pane xSplit="3" ySplit="3" topLeftCell="D10" activePane="bottomRight" state="frozen"/>
      <selection pane="topRight" activeCell="D1" sqref="D1"/>
      <selection pane="bottomLeft" activeCell="A4" sqref="A4"/>
      <selection pane="bottomRight" activeCell="S5" sqref="S5"/>
    </sheetView>
  </sheetViews>
  <sheetFormatPr defaultRowHeight="14.5" x14ac:dyDescent="0.35"/>
  <cols>
    <col min="1" max="1" width="3.7265625" bestFit="1" customWidth="1"/>
    <col min="2" max="2" width="12.453125" bestFit="1" customWidth="1"/>
    <col min="3" max="3" width="7.54296875" bestFit="1" customWidth="1"/>
    <col min="4" max="4" width="11" bestFit="1" customWidth="1"/>
    <col min="5" max="5" width="13.6328125" bestFit="1" customWidth="1"/>
    <col min="6" max="6" width="13.26953125" bestFit="1" customWidth="1"/>
    <col min="10" max="10" width="8.1796875" bestFit="1" customWidth="1"/>
    <col min="11" max="11" width="10" bestFit="1" customWidth="1"/>
    <col min="12" max="12" width="9.54296875" customWidth="1"/>
    <col min="14" max="14" width="9.453125" customWidth="1"/>
    <col min="18" max="18" width="17.90625" bestFit="1" customWidth="1"/>
    <col min="19" max="19" width="14.26953125" bestFit="1" customWidth="1"/>
    <col min="21" max="21" width="19.26953125" bestFit="1" customWidth="1"/>
    <col min="22" max="22" width="16.54296875" bestFit="1" customWidth="1"/>
    <col min="25" max="25" width="27.36328125" bestFit="1" customWidth="1"/>
    <col min="26" max="26" width="13.81640625" bestFit="1" customWidth="1"/>
    <col min="28" max="28" width="21.453125" bestFit="1" customWidth="1"/>
  </cols>
  <sheetData>
    <row r="1" spans="1:26" ht="26" x14ac:dyDescent="0.6">
      <c r="A1" s="74" t="str" cm="1">
        <f t="array" aca="1" ref="A1" ca="1">MID(CELL("nomefile",A1),FIND("]",CELL("nomefile",A1))+1,255)</f>
        <v>Marzo 2021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51"/>
    </row>
    <row r="2" spans="1:26" ht="15" customHeight="1" x14ac:dyDescent="0.35">
      <c r="D2" s="76" t="s">
        <v>44</v>
      </c>
      <c r="E2" s="76"/>
      <c r="F2" s="76"/>
      <c r="G2" s="76"/>
      <c r="H2" s="77" t="s">
        <v>45</v>
      </c>
      <c r="I2" s="77"/>
      <c r="J2" s="78" t="s">
        <v>48</v>
      </c>
      <c r="K2" s="78"/>
      <c r="L2" s="78"/>
      <c r="M2" s="78"/>
      <c r="N2" s="78"/>
      <c r="O2" s="78"/>
      <c r="P2" s="79" t="s">
        <v>8</v>
      </c>
      <c r="Q2" s="80"/>
      <c r="S2" s="1" t="s">
        <v>17</v>
      </c>
    </row>
    <row r="3" spans="1:26" ht="29.5" thickBot="1" x14ac:dyDescent="0.4">
      <c r="D3" s="19" t="s">
        <v>49</v>
      </c>
      <c r="E3" s="4" t="s">
        <v>54</v>
      </c>
      <c r="F3" s="19" t="s">
        <v>52</v>
      </c>
      <c r="G3" s="4" t="s">
        <v>0</v>
      </c>
      <c r="H3" s="5" t="s">
        <v>46</v>
      </c>
      <c r="I3" s="5" t="s">
        <v>47</v>
      </c>
      <c r="J3" s="6" t="s">
        <v>50</v>
      </c>
      <c r="K3" s="6" t="s">
        <v>11</v>
      </c>
      <c r="L3" s="6" t="s">
        <v>51</v>
      </c>
      <c r="M3" s="6" t="s">
        <v>12</v>
      </c>
      <c r="N3" s="6" t="s">
        <v>10</v>
      </c>
      <c r="O3" s="6" t="s">
        <v>0</v>
      </c>
      <c r="P3" s="7"/>
      <c r="Q3" s="7" t="s">
        <v>26</v>
      </c>
      <c r="R3" s="52" t="s">
        <v>25</v>
      </c>
      <c r="S3" s="2">
        <f>V23</f>
        <v>0</v>
      </c>
    </row>
    <row r="4" spans="1:26" ht="15" customHeight="1" x14ac:dyDescent="0.45">
      <c r="A4" s="64" t="s">
        <v>9</v>
      </c>
      <c r="B4" s="8">
        <v>44256</v>
      </c>
      <c r="C4" s="3" t="s">
        <v>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21"/>
      <c r="R4" s="20">
        <f t="shared" ref="R4:R10" si="0">SUM(D4:Q4)</f>
        <v>0</v>
      </c>
      <c r="U4" s="67" t="s">
        <v>18</v>
      </c>
      <c r="V4" s="26" t="s">
        <v>27</v>
      </c>
      <c r="W4" s="10"/>
      <c r="Y4" s="48" t="s">
        <v>40</v>
      </c>
      <c r="Z4" s="48">
        <f>SUM(W13:W21)+R12+R21+R30+R39+R48+R57</f>
        <v>0</v>
      </c>
    </row>
    <row r="5" spans="1:26" ht="15" customHeight="1" x14ac:dyDescent="0.35">
      <c r="A5" s="64"/>
      <c r="B5" s="8">
        <v>44257</v>
      </c>
      <c r="C5" s="3" t="s">
        <v>2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20"/>
      <c r="R5" s="20">
        <f t="shared" si="0"/>
        <v>0</v>
      </c>
      <c r="U5" s="68"/>
      <c r="V5" s="31"/>
      <c r="W5" s="11"/>
    </row>
    <row r="6" spans="1:26" ht="15" customHeight="1" x14ac:dyDescent="0.45">
      <c r="A6" s="64"/>
      <c r="B6" s="8">
        <v>44258</v>
      </c>
      <c r="C6" s="3" t="s">
        <v>3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20">
        <f t="shared" si="0"/>
        <v>0</v>
      </c>
      <c r="U6" s="68"/>
      <c r="V6" s="31"/>
      <c r="W6" s="11"/>
      <c r="Y6" s="48" t="s">
        <v>42</v>
      </c>
      <c r="Z6" s="48">
        <f>W11-Z4</f>
        <v>0</v>
      </c>
    </row>
    <row r="7" spans="1:26" ht="15" customHeight="1" x14ac:dyDescent="0.35">
      <c r="A7" s="64"/>
      <c r="B7" s="8">
        <v>44259</v>
      </c>
      <c r="C7" s="3" t="s">
        <v>4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20"/>
      <c r="R7" s="20">
        <f t="shared" si="0"/>
        <v>0</v>
      </c>
      <c r="U7" s="68"/>
      <c r="V7" s="31"/>
      <c r="W7" s="11"/>
    </row>
    <row r="8" spans="1:26" ht="15" customHeight="1" x14ac:dyDescent="0.35">
      <c r="A8" s="64"/>
      <c r="B8" s="8">
        <v>44260</v>
      </c>
      <c r="C8" s="3" t="s">
        <v>5</v>
      </c>
      <c r="D8" s="18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>
        <f t="shared" si="0"/>
        <v>0</v>
      </c>
      <c r="U8" s="68"/>
      <c r="V8" s="31"/>
      <c r="W8" s="11"/>
    </row>
    <row r="9" spans="1:26" ht="15" customHeight="1" x14ac:dyDescent="0.35">
      <c r="A9" s="64"/>
      <c r="B9" s="8">
        <v>44261</v>
      </c>
      <c r="C9" s="3" t="s">
        <v>6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20"/>
      <c r="R9" s="20">
        <f t="shared" si="0"/>
        <v>0</v>
      </c>
      <c r="U9" s="68"/>
      <c r="V9" s="31"/>
      <c r="W9" s="11"/>
    </row>
    <row r="10" spans="1:26" ht="15" customHeight="1" thickBot="1" x14ac:dyDescent="0.4">
      <c r="A10" s="64"/>
      <c r="B10" s="8">
        <v>44262</v>
      </c>
      <c r="C10" s="3" t="s">
        <v>7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22"/>
      <c r="R10" s="20">
        <f t="shared" si="0"/>
        <v>0</v>
      </c>
      <c r="U10" s="68"/>
      <c r="V10" s="31"/>
      <c r="W10" s="11"/>
    </row>
    <row r="11" spans="1:26" ht="15" thickBot="1" x14ac:dyDescent="0.4">
      <c r="A11" s="64"/>
      <c r="C11" s="3" t="s">
        <v>13</v>
      </c>
      <c r="D11" s="35">
        <f>SUM(D4:D10)</f>
        <v>0</v>
      </c>
      <c r="E11" s="36">
        <f t="shared" ref="E11:P11" si="1">SUM(E4:E10)</f>
        <v>0</v>
      </c>
      <c r="F11" s="36">
        <f t="shared" si="1"/>
        <v>0</v>
      </c>
      <c r="G11" s="36">
        <f t="shared" si="1"/>
        <v>0</v>
      </c>
      <c r="H11" s="37">
        <f t="shared" si="1"/>
        <v>0</v>
      </c>
      <c r="I11" s="37">
        <f t="shared" si="1"/>
        <v>0</v>
      </c>
      <c r="J11" s="38">
        <f t="shared" si="1"/>
        <v>0</v>
      </c>
      <c r="K11" s="38">
        <f t="shared" si="1"/>
        <v>0</v>
      </c>
      <c r="L11" s="38">
        <f t="shared" si="1"/>
        <v>0</v>
      </c>
      <c r="M11" s="38">
        <f t="shared" si="1"/>
        <v>0</v>
      </c>
      <c r="N11" s="38">
        <f t="shared" si="1"/>
        <v>0</v>
      </c>
      <c r="O11" s="38">
        <f t="shared" si="1"/>
        <v>0</v>
      </c>
      <c r="P11" s="23">
        <f t="shared" si="1"/>
        <v>0</v>
      </c>
      <c r="Q11" s="23">
        <f>SUM(Q4:Q10)</f>
        <v>0</v>
      </c>
      <c r="R11" s="24" t="s">
        <v>56</v>
      </c>
      <c r="S11" s="2" t="s">
        <v>21</v>
      </c>
      <c r="U11" s="69"/>
      <c r="V11" s="49" t="s">
        <v>13</v>
      </c>
      <c r="W11" s="9">
        <f>SUM(W4:W10)</f>
        <v>0</v>
      </c>
    </row>
    <row r="12" spans="1:26" ht="15" thickBot="1" x14ac:dyDescent="0.4">
      <c r="A12" s="29"/>
      <c r="C12" s="3"/>
      <c r="D12" s="70">
        <f>SUM(D11:G11)</f>
        <v>0</v>
      </c>
      <c r="E12" s="71"/>
      <c r="F12" s="71"/>
      <c r="G12" s="71"/>
      <c r="H12" s="72">
        <f>SUM(H11:I11)</f>
        <v>0</v>
      </c>
      <c r="I12" s="72"/>
      <c r="J12" s="73">
        <f>SUM(J11:O11)</f>
        <v>0</v>
      </c>
      <c r="K12" s="73"/>
      <c r="L12" s="73"/>
      <c r="M12" s="73"/>
      <c r="N12" s="73"/>
      <c r="O12" s="73"/>
      <c r="P12" s="62">
        <f>SUM(P11:Q11)</f>
        <v>0</v>
      </c>
      <c r="Q12" s="63"/>
      <c r="R12" s="9">
        <f t="shared" ref="R12:R19" si="2">SUM(D12:Q12)</f>
        <v>0</v>
      </c>
      <c r="S12" s="9">
        <f>$S$3-R12</f>
        <v>0</v>
      </c>
      <c r="U12" s="1"/>
      <c r="V12" s="1"/>
    </row>
    <row r="13" spans="1:26" x14ac:dyDescent="0.35">
      <c r="A13" s="29"/>
      <c r="B13" s="8">
        <v>44263</v>
      </c>
      <c r="C13" s="3" t="s">
        <v>1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0"/>
      <c r="Q13" s="21"/>
      <c r="R13" s="33">
        <f t="shared" si="2"/>
        <v>0</v>
      </c>
      <c r="U13" s="67" t="s">
        <v>19</v>
      </c>
      <c r="V13" s="26" t="s">
        <v>20</v>
      </c>
      <c r="W13" s="10"/>
    </row>
    <row r="14" spans="1:26" x14ac:dyDescent="0.35">
      <c r="A14" s="64" t="s">
        <v>14</v>
      </c>
      <c r="B14" s="8">
        <v>44264</v>
      </c>
      <c r="C14" s="3" t="s">
        <v>2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>
        <f t="shared" si="2"/>
        <v>0</v>
      </c>
      <c r="U14" s="68"/>
      <c r="V14" s="31" t="s">
        <v>35</v>
      </c>
      <c r="W14" s="11"/>
    </row>
    <row r="15" spans="1:26" x14ac:dyDescent="0.35">
      <c r="A15" s="64"/>
      <c r="B15" s="8">
        <v>44265</v>
      </c>
      <c r="C15" s="3" t="s">
        <v>3</v>
      </c>
      <c r="D15" s="20"/>
      <c r="E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>
        <f t="shared" si="2"/>
        <v>0</v>
      </c>
      <c r="U15" s="68"/>
      <c r="V15" s="31" t="s">
        <v>37</v>
      </c>
      <c r="W15" s="11"/>
    </row>
    <row r="16" spans="1:26" ht="15.75" customHeight="1" x14ac:dyDescent="0.35">
      <c r="A16" s="64"/>
      <c r="B16" s="8">
        <v>44266</v>
      </c>
      <c r="C16" s="3" t="s">
        <v>4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>
        <f t="shared" si="2"/>
        <v>0</v>
      </c>
      <c r="U16" s="68"/>
      <c r="V16" s="31" t="s">
        <v>38</v>
      </c>
      <c r="W16" s="11"/>
    </row>
    <row r="17" spans="1:27" x14ac:dyDescent="0.35">
      <c r="A17" s="64"/>
      <c r="B17" s="8">
        <v>44267</v>
      </c>
      <c r="C17" s="3" t="s">
        <v>5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>
        <f t="shared" si="2"/>
        <v>0</v>
      </c>
      <c r="U17" s="68"/>
      <c r="V17" s="31" t="s">
        <v>36</v>
      </c>
      <c r="W17" s="11"/>
    </row>
    <row r="18" spans="1:27" x14ac:dyDescent="0.35">
      <c r="A18" s="64"/>
      <c r="B18" s="8">
        <v>44268</v>
      </c>
      <c r="C18" s="3" t="s">
        <v>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>
        <f t="shared" si="2"/>
        <v>0</v>
      </c>
      <c r="U18" s="68"/>
      <c r="V18" s="31"/>
      <c r="W18" s="11"/>
      <c r="X18" s="13"/>
    </row>
    <row r="19" spans="1:27" ht="15.75" customHeight="1" thickBot="1" x14ac:dyDescent="0.4">
      <c r="A19" s="64"/>
      <c r="B19" s="8">
        <v>44269</v>
      </c>
      <c r="C19" s="3" t="s">
        <v>7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34">
        <f t="shared" si="2"/>
        <v>0</v>
      </c>
      <c r="U19" s="68"/>
      <c r="V19" s="45"/>
      <c r="W19" s="11"/>
      <c r="X19" s="13"/>
    </row>
    <row r="20" spans="1:27" ht="15" thickBot="1" x14ac:dyDescent="0.4">
      <c r="A20" s="64"/>
      <c r="C20" s="3" t="s">
        <v>13</v>
      </c>
      <c r="D20" s="14">
        <f t="shared" ref="D20:Q20" si="3">SUM(D13:D19)</f>
        <v>0</v>
      </c>
      <c r="E20" s="14">
        <f t="shared" si="3"/>
        <v>0</v>
      </c>
      <c r="F20" s="14">
        <f t="shared" si="3"/>
        <v>0</v>
      </c>
      <c r="G20" s="14">
        <f t="shared" si="3"/>
        <v>0</v>
      </c>
      <c r="H20" s="15">
        <f t="shared" si="3"/>
        <v>0</v>
      </c>
      <c r="I20" s="15">
        <f t="shared" si="3"/>
        <v>0</v>
      </c>
      <c r="J20" s="16">
        <f t="shared" si="3"/>
        <v>0</v>
      </c>
      <c r="K20" s="16">
        <f t="shared" si="3"/>
        <v>0</v>
      </c>
      <c r="L20" s="16">
        <f t="shared" si="3"/>
        <v>0</v>
      </c>
      <c r="M20" s="16">
        <f t="shared" si="3"/>
        <v>0</v>
      </c>
      <c r="N20" s="16">
        <f t="shared" si="3"/>
        <v>0</v>
      </c>
      <c r="O20" s="16">
        <f t="shared" si="3"/>
        <v>0</v>
      </c>
      <c r="P20" s="25">
        <f t="shared" si="3"/>
        <v>0</v>
      </c>
      <c r="Q20" s="25">
        <f t="shared" si="3"/>
        <v>0</v>
      </c>
      <c r="R20" s="24" t="s">
        <v>56</v>
      </c>
      <c r="S20" s="2" t="s">
        <v>22</v>
      </c>
      <c r="U20" s="68"/>
      <c r="V20" s="45"/>
      <c r="W20" s="11"/>
    </row>
    <row r="21" spans="1:27" ht="15" thickBot="1" x14ac:dyDescent="0.4">
      <c r="A21" s="29"/>
      <c r="C21" s="3"/>
      <c r="D21" s="71">
        <f>SUM(D20:G20)</f>
        <v>0</v>
      </c>
      <c r="E21" s="71"/>
      <c r="F21" s="71"/>
      <c r="G21" s="71"/>
      <c r="H21" s="72">
        <f>SUM(H20:I20)</f>
        <v>0</v>
      </c>
      <c r="I21" s="72"/>
      <c r="J21" s="73">
        <f>SUM(J20:O20)</f>
        <v>0</v>
      </c>
      <c r="K21" s="73"/>
      <c r="L21" s="73"/>
      <c r="M21" s="73"/>
      <c r="N21" s="73"/>
      <c r="O21" s="73"/>
      <c r="P21" s="62">
        <f>SUM(P20:Q20)</f>
        <v>0</v>
      </c>
      <c r="Q21" s="63"/>
      <c r="R21" s="9">
        <f t="shared" ref="R21:R28" si="4">SUM(D21:Q21)</f>
        <v>0</v>
      </c>
      <c r="S21" s="9">
        <f>S12-R21</f>
        <v>0</v>
      </c>
      <c r="U21" s="69"/>
      <c r="V21" s="46"/>
      <c r="W21" s="47"/>
      <c r="X21" s="13"/>
    </row>
    <row r="22" spans="1:27" ht="15" thickBot="1" x14ac:dyDescent="0.4">
      <c r="A22" s="29"/>
      <c r="B22" s="8">
        <v>44270</v>
      </c>
      <c r="C22" s="3" t="s">
        <v>1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0"/>
      <c r="Q22" s="21"/>
      <c r="R22" s="33">
        <f t="shared" si="4"/>
        <v>0</v>
      </c>
      <c r="Z22" t="s">
        <v>44</v>
      </c>
      <c r="AA22">
        <f>D59</f>
        <v>0</v>
      </c>
    </row>
    <row r="23" spans="1:27" ht="15" thickBot="1" x14ac:dyDescent="0.4">
      <c r="A23" s="64" t="s">
        <v>15</v>
      </c>
      <c r="B23" s="8">
        <v>44271</v>
      </c>
      <c r="C23" s="3" t="s">
        <v>2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>
        <f t="shared" si="4"/>
        <v>0</v>
      </c>
      <c r="U23" s="12" t="s">
        <v>17</v>
      </c>
      <c r="V23" s="65">
        <f t="shared" ref="V23" si="5">W11-SUM(W13:W21)</f>
        <v>0</v>
      </c>
      <c r="W23" s="66"/>
      <c r="Z23" t="s">
        <v>45</v>
      </c>
      <c r="AA23">
        <f>H59</f>
        <v>0</v>
      </c>
    </row>
    <row r="24" spans="1:27" x14ac:dyDescent="0.35">
      <c r="A24" s="64"/>
      <c r="B24" s="8">
        <v>44272</v>
      </c>
      <c r="C24" s="3" t="s">
        <v>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>
        <f t="shared" si="4"/>
        <v>0</v>
      </c>
      <c r="Z24" t="s">
        <v>48</v>
      </c>
      <c r="AA24">
        <f>J59</f>
        <v>0</v>
      </c>
    </row>
    <row r="25" spans="1:27" x14ac:dyDescent="0.35">
      <c r="A25" s="64"/>
      <c r="B25" s="8">
        <v>44273</v>
      </c>
      <c r="C25" s="3" t="s">
        <v>4</v>
      </c>
      <c r="D25" s="20"/>
      <c r="E25" s="20"/>
      <c r="F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>
        <f t="shared" si="4"/>
        <v>0</v>
      </c>
      <c r="U25">
        <f>S3-S48</f>
        <v>0</v>
      </c>
      <c r="Z25" t="s">
        <v>53</v>
      </c>
      <c r="AA25">
        <f>P59</f>
        <v>0</v>
      </c>
    </row>
    <row r="26" spans="1:27" x14ac:dyDescent="0.35">
      <c r="A26" s="64"/>
      <c r="B26" s="8">
        <v>44274</v>
      </c>
      <c r="C26" s="3" t="s">
        <v>5</v>
      </c>
      <c r="D26" s="20"/>
      <c r="E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>
        <f t="shared" si="4"/>
        <v>0</v>
      </c>
      <c r="Z26" t="s">
        <v>83</v>
      </c>
      <c r="AA26">
        <f>W13</f>
        <v>0</v>
      </c>
    </row>
    <row r="27" spans="1:27" x14ac:dyDescent="0.35">
      <c r="A27" s="64"/>
      <c r="B27" s="8">
        <v>44275</v>
      </c>
      <c r="C27" s="3" t="s">
        <v>6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>
        <f t="shared" si="4"/>
        <v>0</v>
      </c>
      <c r="Z27" t="s">
        <v>84</v>
      </c>
      <c r="AA27">
        <f>SUM(W14:W17)</f>
        <v>0</v>
      </c>
    </row>
    <row r="28" spans="1:27" ht="15" customHeight="1" thickBot="1" x14ac:dyDescent="0.4">
      <c r="A28" s="64"/>
      <c r="B28" s="8">
        <v>44276</v>
      </c>
      <c r="C28" s="3" t="s">
        <v>7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34">
        <f t="shared" si="4"/>
        <v>0</v>
      </c>
    </row>
    <row r="29" spans="1:27" ht="15" thickBot="1" x14ac:dyDescent="0.4">
      <c r="A29" s="64"/>
      <c r="C29" s="3" t="s">
        <v>13</v>
      </c>
      <c r="D29" s="14">
        <f t="shared" ref="D29:Q29" si="6">SUM(D22:D28)</f>
        <v>0</v>
      </c>
      <c r="E29" s="14">
        <f>SUM(E22:E28)</f>
        <v>0</v>
      </c>
      <c r="F29" s="14">
        <f t="shared" si="6"/>
        <v>0</v>
      </c>
      <c r="G29" s="14">
        <f t="shared" si="6"/>
        <v>0</v>
      </c>
      <c r="H29" s="15">
        <f t="shared" si="6"/>
        <v>0</v>
      </c>
      <c r="I29" s="15">
        <f t="shared" si="6"/>
        <v>0</v>
      </c>
      <c r="J29" s="16">
        <f t="shared" si="6"/>
        <v>0</v>
      </c>
      <c r="K29" s="16">
        <f t="shared" si="6"/>
        <v>0</v>
      </c>
      <c r="L29" s="16">
        <f t="shared" si="6"/>
        <v>0</v>
      </c>
      <c r="M29" s="16">
        <f t="shared" si="6"/>
        <v>0</v>
      </c>
      <c r="N29" s="16">
        <f t="shared" si="6"/>
        <v>0</v>
      </c>
      <c r="O29" s="16">
        <f t="shared" si="6"/>
        <v>0</v>
      </c>
      <c r="P29" s="23">
        <f t="shared" si="6"/>
        <v>0</v>
      </c>
      <c r="Q29" s="23">
        <f t="shared" si="6"/>
        <v>0</v>
      </c>
      <c r="R29" s="24" t="s">
        <v>56</v>
      </c>
      <c r="S29" s="2" t="s">
        <v>23</v>
      </c>
    </row>
    <row r="30" spans="1:27" ht="15" thickBot="1" x14ac:dyDescent="0.4">
      <c r="A30" s="29"/>
      <c r="C30" s="3"/>
      <c r="D30" s="54">
        <f>SUM(D29:G29)</f>
        <v>0</v>
      </c>
      <c r="E30" s="55"/>
      <c r="F30" s="55"/>
      <c r="G30" s="56"/>
      <c r="H30" s="57">
        <f>SUM(H29:I29)</f>
        <v>0</v>
      </c>
      <c r="I30" s="58"/>
      <c r="J30" s="59">
        <f>SUM(J29:O29)</f>
        <v>0</v>
      </c>
      <c r="K30" s="60"/>
      <c r="L30" s="60"/>
      <c r="M30" s="60"/>
      <c r="N30" s="60"/>
      <c r="O30" s="61"/>
      <c r="P30" s="62">
        <f>SUM(P29:Q29)</f>
        <v>0</v>
      </c>
      <c r="Q30" s="63"/>
      <c r="R30" s="9">
        <f t="shared" ref="R30:R37" si="7">SUM(D30:Q30)</f>
        <v>0</v>
      </c>
      <c r="S30" s="9">
        <f>S21-R30</f>
        <v>0</v>
      </c>
    </row>
    <row r="31" spans="1:27" x14ac:dyDescent="0.35">
      <c r="A31" s="29"/>
      <c r="B31" s="8">
        <v>44277</v>
      </c>
      <c r="C31" s="3" t="s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0"/>
      <c r="Q31" s="21"/>
      <c r="R31" s="33">
        <f t="shared" si="7"/>
        <v>0</v>
      </c>
    </row>
    <row r="32" spans="1:27" x14ac:dyDescent="0.35">
      <c r="A32" s="64" t="s">
        <v>16</v>
      </c>
      <c r="B32" s="8">
        <v>44278</v>
      </c>
      <c r="C32" s="3" t="s">
        <v>2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>
        <f t="shared" si="7"/>
        <v>0</v>
      </c>
    </row>
    <row r="33" spans="1:19" x14ac:dyDescent="0.35">
      <c r="A33" s="64"/>
      <c r="B33" s="8">
        <v>44279</v>
      </c>
      <c r="C33" s="3" t="s">
        <v>3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>
        <f t="shared" si="7"/>
        <v>0</v>
      </c>
    </row>
    <row r="34" spans="1:19" x14ac:dyDescent="0.35">
      <c r="A34" s="64"/>
      <c r="B34" s="8">
        <v>44280</v>
      </c>
      <c r="C34" s="3" t="s">
        <v>4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>
        <f t="shared" si="7"/>
        <v>0</v>
      </c>
    </row>
    <row r="35" spans="1:19" x14ac:dyDescent="0.35">
      <c r="A35" s="64"/>
      <c r="B35" s="8">
        <v>44281</v>
      </c>
      <c r="C35" s="3" t="s">
        <v>5</v>
      </c>
      <c r="D35" s="20"/>
      <c r="F35" s="20"/>
      <c r="G35" s="20"/>
      <c r="H35" s="20"/>
      <c r="J35" s="20"/>
      <c r="K35" s="20"/>
      <c r="L35" s="20"/>
      <c r="N35" s="20"/>
      <c r="O35" s="20"/>
      <c r="P35" s="20"/>
      <c r="Q35" s="20"/>
      <c r="R35" s="20">
        <f t="shared" si="7"/>
        <v>0</v>
      </c>
    </row>
    <row r="36" spans="1:19" x14ac:dyDescent="0.35">
      <c r="A36" s="64"/>
      <c r="B36" s="8">
        <v>44282</v>
      </c>
      <c r="C36" s="3" t="s">
        <v>6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>
        <f t="shared" si="7"/>
        <v>0</v>
      </c>
    </row>
    <row r="37" spans="1:19" ht="15" customHeight="1" thickBot="1" x14ac:dyDescent="0.4">
      <c r="A37" s="64"/>
      <c r="B37" s="8">
        <v>44283</v>
      </c>
      <c r="C37" s="3" t="s">
        <v>7</v>
      </c>
      <c r="D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34">
        <f t="shared" si="7"/>
        <v>0</v>
      </c>
    </row>
    <row r="38" spans="1:19" ht="15" thickBot="1" x14ac:dyDescent="0.4">
      <c r="A38" s="64"/>
      <c r="C38" s="3" t="s">
        <v>13</v>
      </c>
      <c r="D38" s="14">
        <f>SUM(D31:D37)</f>
        <v>0</v>
      </c>
      <c r="E38" s="14">
        <f t="shared" ref="E38:Q38" si="8">SUM(E31:E37)</f>
        <v>0</v>
      </c>
      <c r="F38" s="14">
        <f t="shared" si="8"/>
        <v>0</v>
      </c>
      <c r="G38" s="14">
        <f t="shared" si="8"/>
        <v>0</v>
      </c>
      <c r="H38" s="15">
        <f t="shared" si="8"/>
        <v>0</v>
      </c>
      <c r="I38" s="15">
        <f t="shared" si="8"/>
        <v>0</v>
      </c>
      <c r="J38" s="16">
        <f t="shared" si="8"/>
        <v>0</v>
      </c>
      <c r="K38" s="16">
        <f t="shared" si="8"/>
        <v>0</v>
      </c>
      <c r="L38" s="16">
        <f t="shared" si="8"/>
        <v>0</v>
      </c>
      <c r="M38" s="16">
        <f t="shared" si="8"/>
        <v>0</v>
      </c>
      <c r="N38" s="16">
        <f t="shared" si="8"/>
        <v>0</v>
      </c>
      <c r="O38" s="16">
        <f t="shared" si="8"/>
        <v>0</v>
      </c>
      <c r="P38" s="25">
        <f t="shared" si="8"/>
        <v>0</v>
      </c>
      <c r="Q38" s="25">
        <f t="shared" si="8"/>
        <v>0</v>
      </c>
      <c r="R38" s="24" t="s">
        <v>56</v>
      </c>
      <c r="S38" s="2" t="s">
        <v>24</v>
      </c>
    </row>
    <row r="39" spans="1:19" ht="15" thickBot="1" x14ac:dyDescent="0.4">
      <c r="A39" s="29"/>
      <c r="C39" s="3"/>
      <c r="D39" s="54">
        <f t="shared" ref="D39" si="9">SUM(D38:G38)</f>
        <v>0</v>
      </c>
      <c r="E39" s="55"/>
      <c r="F39" s="55"/>
      <c r="G39" s="56"/>
      <c r="H39" s="57">
        <f>SUM(H38:I38)</f>
        <v>0</v>
      </c>
      <c r="I39" s="58"/>
      <c r="J39" s="59">
        <f>SUM(J38:O38)</f>
        <v>0</v>
      </c>
      <c r="K39" s="60"/>
      <c r="L39" s="60"/>
      <c r="M39" s="60"/>
      <c r="N39" s="60"/>
      <c r="O39" s="61"/>
      <c r="P39" s="62">
        <f>SUM(P38:Q38)</f>
        <v>0</v>
      </c>
      <c r="Q39" s="63"/>
      <c r="R39" s="9">
        <f t="shared" ref="R39:R46" si="10">SUM(D39:Q39)</f>
        <v>0</v>
      </c>
      <c r="S39" s="9">
        <f>S30-R39</f>
        <v>0</v>
      </c>
    </row>
    <row r="40" spans="1:19" x14ac:dyDescent="0.35">
      <c r="A40" s="29"/>
      <c r="B40" s="8">
        <v>44284</v>
      </c>
      <c r="C40" s="3" t="s">
        <v>1</v>
      </c>
      <c r="D40" s="27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33">
        <f t="shared" si="10"/>
        <v>0</v>
      </c>
    </row>
    <row r="41" spans="1:19" ht="15" customHeight="1" x14ac:dyDescent="0.35">
      <c r="A41" s="64" t="s">
        <v>29</v>
      </c>
      <c r="B41" s="8">
        <v>44285</v>
      </c>
      <c r="C41" s="3" t="s">
        <v>2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>
        <f t="shared" si="10"/>
        <v>0</v>
      </c>
    </row>
    <row r="42" spans="1:19" x14ac:dyDescent="0.35">
      <c r="A42" s="64"/>
      <c r="B42" s="8">
        <v>44286</v>
      </c>
      <c r="C42" s="3" t="s">
        <v>3</v>
      </c>
      <c r="D42" s="28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>
        <f t="shared" si="10"/>
        <v>0</v>
      </c>
    </row>
    <row r="43" spans="1:19" x14ac:dyDescent="0.35">
      <c r="A43" s="64"/>
      <c r="B43" s="8" t="s">
        <v>33</v>
      </c>
      <c r="C43" s="3" t="s">
        <v>4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>
        <f t="shared" si="10"/>
        <v>0</v>
      </c>
    </row>
    <row r="44" spans="1:19" ht="16.5" customHeight="1" x14ac:dyDescent="0.35">
      <c r="A44" s="64"/>
      <c r="B44" s="8" t="s">
        <v>33</v>
      </c>
      <c r="C44" s="3" t="s">
        <v>5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>
        <f t="shared" si="10"/>
        <v>0</v>
      </c>
    </row>
    <row r="45" spans="1:19" x14ac:dyDescent="0.35">
      <c r="A45" s="64"/>
      <c r="B45" s="8" t="s">
        <v>33</v>
      </c>
      <c r="C45" s="3" t="s">
        <v>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>
        <f t="shared" si="10"/>
        <v>0</v>
      </c>
    </row>
    <row r="46" spans="1:19" ht="15" thickBot="1" x14ac:dyDescent="0.4">
      <c r="A46" s="50"/>
      <c r="B46" s="8" t="s">
        <v>33</v>
      </c>
      <c r="C46" s="3" t="s">
        <v>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34">
        <f t="shared" si="10"/>
        <v>0</v>
      </c>
    </row>
    <row r="47" spans="1:19" ht="15" thickBot="1" x14ac:dyDescent="0.4">
      <c r="A47" s="50"/>
      <c r="B47" s="8"/>
      <c r="C47" s="3" t="s">
        <v>13</v>
      </c>
      <c r="D47" s="14">
        <f t="shared" ref="D47:Q47" si="11">SUM(D40:D46)</f>
        <v>0</v>
      </c>
      <c r="E47" s="14">
        <f t="shared" si="11"/>
        <v>0</v>
      </c>
      <c r="F47" s="14">
        <f t="shared" si="11"/>
        <v>0</v>
      </c>
      <c r="G47" s="14">
        <f t="shared" si="11"/>
        <v>0</v>
      </c>
      <c r="H47" s="15">
        <f t="shared" si="11"/>
        <v>0</v>
      </c>
      <c r="I47" s="15">
        <f t="shared" si="11"/>
        <v>0</v>
      </c>
      <c r="J47" s="16">
        <f t="shared" si="11"/>
        <v>0</v>
      </c>
      <c r="K47" s="16">
        <f t="shared" si="11"/>
        <v>0</v>
      </c>
      <c r="L47" s="16">
        <f t="shared" si="11"/>
        <v>0</v>
      </c>
      <c r="M47" s="16">
        <f t="shared" si="11"/>
        <v>0</v>
      </c>
      <c r="N47" s="16">
        <f t="shared" si="11"/>
        <v>0</v>
      </c>
      <c r="O47" s="16">
        <f t="shared" si="11"/>
        <v>0</v>
      </c>
      <c r="P47" s="17">
        <f t="shared" si="11"/>
        <v>0</v>
      </c>
      <c r="Q47" s="17">
        <f t="shared" si="11"/>
        <v>0</v>
      </c>
      <c r="R47" s="24" t="s">
        <v>56</v>
      </c>
      <c r="S47" s="2" t="s">
        <v>28</v>
      </c>
    </row>
    <row r="48" spans="1:19" ht="15" thickBot="1" x14ac:dyDescent="0.4">
      <c r="C48" s="3"/>
      <c r="D48" s="54">
        <f>SUM(D47:G47)</f>
        <v>0</v>
      </c>
      <c r="E48" s="55"/>
      <c r="F48" s="55"/>
      <c r="G48" s="56"/>
      <c r="H48" s="57">
        <f>SUM(H47:I47)</f>
        <v>0</v>
      </c>
      <c r="I48" s="58"/>
      <c r="J48" s="59">
        <f>SUM(J47:O47)</f>
        <v>0</v>
      </c>
      <c r="K48" s="60"/>
      <c r="L48" s="60"/>
      <c r="M48" s="60"/>
      <c r="N48" s="60"/>
      <c r="O48" s="61"/>
      <c r="P48" s="62">
        <f>SUM(P47:Q47)</f>
        <v>0</v>
      </c>
      <c r="Q48" s="63"/>
      <c r="R48" s="9">
        <f t="shared" ref="R48:R55" si="12">SUM(D48:Q48)</f>
        <v>0</v>
      </c>
      <c r="S48" s="9">
        <f>S39-R48</f>
        <v>0</v>
      </c>
    </row>
    <row r="49" spans="1:19" ht="15.75" customHeight="1" x14ac:dyDescent="0.35">
      <c r="A49" s="64" t="s">
        <v>30</v>
      </c>
      <c r="B49" s="8" t="s">
        <v>33</v>
      </c>
      <c r="C49" s="32" t="s">
        <v>1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33">
        <f t="shared" si="12"/>
        <v>0</v>
      </c>
    </row>
    <row r="50" spans="1:19" ht="15.75" customHeight="1" x14ac:dyDescent="0.35">
      <c r="A50" s="64"/>
      <c r="B50" s="8" t="s">
        <v>33</v>
      </c>
      <c r="C50" s="32" t="s">
        <v>2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>
        <f t="shared" si="12"/>
        <v>0</v>
      </c>
    </row>
    <row r="51" spans="1:19" ht="15.75" customHeight="1" x14ac:dyDescent="0.35">
      <c r="A51" s="64"/>
      <c r="B51" s="8" t="s">
        <v>33</v>
      </c>
      <c r="C51" s="32" t="s">
        <v>3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>
        <f t="shared" si="12"/>
        <v>0</v>
      </c>
    </row>
    <row r="52" spans="1:19" ht="15.75" customHeight="1" x14ac:dyDescent="0.35">
      <c r="A52" s="64"/>
      <c r="B52" s="8" t="s">
        <v>33</v>
      </c>
      <c r="C52" s="32" t="s">
        <v>4</v>
      </c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>
        <f t="shared" si="12"/>
        <v>0</v>
      </c>
    </row>
    <row r="53" spans="1:19" ht="15.75" customHeight="1" x14ac:dyDescent="0.35">
      <c r="A53" s="64"/>
      <c r="B53" s="8" t="s">
        <v>33</v>
      </c>
      <c r="C53" s="32" t="s">
        <v>5</v>
      </c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>
        <f t="shared" si="12"/>
        <v>0</v>
      </c>
    </row>
    <row r="54" spans="1:19" ht="15.75" customHeight="1" x14ac:dyDescent="0.35">
      <c r="A54" s="64"/>
      <c r="B54" s="8" t="s">
        <v>33</v>
      </c>
      <c r="C54" s="32" t="s">
        <v>6</v>
      </c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>
        <f t="shared" si="12"/>
        <v>0</v>
      </c>
    </row>
    <row r="55" spans="1:19" ht="15.75" customHeight="1" thickBot="1" x14ac:dyDescent="0.4">
      <c r="A55" s="64"/>
      <c r="B55" s="8" t="s">
        <v>33</v>
      </c>
      <c r="C55" s="32" t="s">
        <v>7</v>
      </c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0">
        <f t="shared" si="12"/>
        <v>0</v>
      </c>
    </row>
    <row r="56" spans="1:19" ht="15" thickBot="1" x14ac:dyDescent="0.4">
      <c r="A56" s="29"/>
      <c r="B56" s="8"/>
      <c r="C56" s="3" t="s">
        <v>13</v>
      </c>
      <c r="D56" s="39">
        <f t="shared" ref="D56:F56" si="13">SUM(D49:D55)</f>
        <v>0</v>
      </c>
      <c r="E56" s="39">
        <f t="shared" si="13"/>
        <v>0</v>
      </c>
      <c r="F56" s="39">
        <f t="shared" si="13"/>
        <v>0</v>
      </c>
      <c r="G56" s="39">
        <f>SUM(G49:G55)</f>
        <v>0</v>
      </c>
      <c r="H56" s="37">
        <f t="shared" ref="H56:Q56" si="14">SUM(H49:H55)</f>
        <v>0</v>
      </c>
      <c r="I56" s="37">
        <f t="shared" si="14"/>
        <v>0</v>
      </c>
      <c r="J56" s="38">
        <f t="shared" si="14"/>
        <v>0</v>
      </c>
      <c r="K56" s="38">
        <f t="shared" si="14"/>
        <v>0</v>
      </c>
      <c r="L56" s="38">
        <f t="shared" si="14"/>
        <v>0</v>
      </c>
      <c r="M56" s="38">
        <f t="shared" si="14"/>
        <v>0</v>
      </c>
      <c r="N56" s="38">
        <f t="shared" si="14"/>
        <v>0</v>
      </c>
      <c r="O56" s="38">
        <f t="shared" si="14"/>
        <v>0</v>
      </c>
      <c r="P56" s="40">
        <f t="shared" si="14"/>
        <v>0</v>
      </c>
      <c r="Q56" s="40">
        <f t="shared" si="14"/>
        <v>0</v>
      </c>
      <c r="R56" s="24" t="s">
        <v>56</v>
      </c>
      <c r="S56" s="2" t="s">
        <v>39</v>
      </c>
    </row>
    <row r="57" spans="1:19" ht="15" thickBot="1" x14ac:dyDescent="0.4">
      <c r="A57" s="29"/>
      <c r="C57" s="3"/>
      <c r="D57" s="54">
        <f>SUM(D56:G56)</f>
        <v>0</v>
      </c>
      <c r="E57" s="55"/>
      <c r="F57" s="55"/>
      <c r="G57" s="56"/>
      <c r="H57" s="57">
        <f>SUM(H56:I56)</f>
        <v>0</v>
      </c>
      <c r="I57" s="58"/>
      <c r="J57" s="59">
        <f>SUM(J56:O56)</f>
        <v>0</v>
      </c>
      <c r="K57" s="60"/>
      <c r="L57" s="60"/>
      <c r="M57" s="60"/>
      <c r="N57" s="60"/>
      <c r="O57" s="61"/>
      <c r="P57" s="62">
        <f>SUM(P56:Q56)</f>
        <v>0</v>
      </c>
      <c r="Q57" s="63"/>
      <c r="R57" s="9">
        <f>SUM(D57:Q57)</f>
        <v>0</v>
      </c>
      <c r="S57" s="9">
        <f>S48-R57</f>
        <v>0</v>
      </c>
    </row>
    <row r="58" spans="1:19" x14ac:dyDescent="0.35">
      <c r="A58" s="29"/>
    </row>
    <row r="59" spans="1:19" x14ac:dyDescent="0.35">
      <c r="A59" s="29"/>
      <c r="B59" t="s">
        <v>55</v>
      </c>
      <c r="D59" s="54">
        <f t="shared" ref="D59" si="15">D12+D21+D30+D39+D48+D57</f>
        <v>0</v>
      </c>
      <c r="E59" s="55"/>
      <c r="F59" s="55"/>
      <c r="G59" s="56"/>
      <c r="H59" s="57">
        <f t="shared" ref="H59" si="16">H12+H21+H30+H39+H48+H57</f>
        <v>0</v>
      </c>
      <c r="I59" s="58"/>
      <c r="J59" s="59">
        <f t="shared" ref="J59" si="17">J12+J21+J30+J39+J48+J57</f>
        <v>0</v>
      </c>
      <c r="K59" s="60"/>
      <c r="L59" s="60"/>
      <c r="M59" s="60"/>
      <c r="N59" s="60"/>
      <c r="O59" s="61"/>
      <c r="P59" s="62">
        <f t="shared" ref="P59" si="18">P12+P21+P30+P39+P48+P57</f>
        <v>0</v>
      </c>
      <c r="Q59" s="63"/>
      <c r="R59">
        <f>R12+R21+R30+R39+R48+R57</f>
        <v>0</v>
      </c>
    </row>
  </sheetData>
  <mergeCells count="42">
    <mergeCell ref="A1:P1"/>
    <mergeCell ref="D2:G2"/>
    <mergeCell ref="H2:I2"/>
    <mergeCell ref="J2:O2"/>
    <mergeCell ref="P2:Q2"/>
    <mergeCell ref="P21:Q21"/>
    <mergeCell ref="A23:A29"/>
    <mergeCell ref="U4:U11"/>
    <mergeCell ref="D12:G12"/>
    <mergeCell ref="H12:I12"/>
    <mergeCell ref="J12:O12"/>
    <mergeCell ref="P12:Q12"/>
    <mergeCell ref="U13:U21"/>
    <mergeCell ref="A4:A11"/>
    <mergeCell ref="A32:A38"/>
    <mergeCell ref="A14:A20"/>
    <mergeCell ref="D21:G21"/>
    <mergeCell ref="H21:I21"/>
    <mergeCell ref="J21:O21"/>
    <mergeCell ref="V23:W23"/>
    <mergeCell ref="D30:G30"/>
    <mergeCell ref="H30:I30"/>
    <mergeCell ref="J30:O30"/>
    <mergeCell ref="P30:Q30"/>
    <mergeCell ref="A41:A45"/>
    <mergeCell ref="D48:G48"/>
    <mergeCell ref="H48:I48"/>
    <mergeCell ref="J48:O48"/>
    <mergeCell ref="P48:Q48"/>
    <mergeCell ref="D59:G59"/>
    <mergeCell ref="H59:I59"/>
    <mergeCell ref="J59:O59"/>
    <mergeCell ref="P59:Q59"/>
    <mergeCell ref="D39:G39"/>
    <mergeCell ref="H39:I39"/>
    <mergeCell ref="J39:O39"/>
    <mergeCell ref="P39:Q39"/>
    <mergeCell ref="A49:A55"/>
    <mergeCell ref="D57:G57"/>
    <mergeCell ref="H57:I57"/>
    <mergeCell ref="J57:O57"/>
    <mergeCell ref="P57:Q57"/>
  </mergeCells>
  <conditionalFormatting sqref="Z6">
    <cfRule type="cellIs" dxfId="39" priority="1" operator="lessThan">
      <formula>-200</formula>
    </cfRule>
    <cfRule type="cellIs" dxfId="38" priority="2" operator="between">
      <formula>-200</formula>
      <formula>0</formula>
    </cfRule>
    <cfRule type="cellIs" dxfId="37" priority="3" operator="between">
      <formula>0</formula>
      <formula>200</formula>
    </cfRule>
    <cfRule type="cellIs" dxfId="36" priority="4" operator="greaterThan">
      <formula>200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B3A3E-2BFF-47DA-A259-4DDF73C70C1E}">
  <sheetPr codeName="Foglio4"/>
  <dimension ref="A1:AA59"/>
  <sheetViews>
    <sheetView zoomScale="55" zoomScaleNormal="55" workbookViewId="0">
      <pane xSplit="3" ySplit="3" topLeftCell="D10" activePane="bottomRight" state="frozen"/>
      <selection pane="topRight" activeCell="D1" sqref="D1"/>
      <selection pane="bottomLeft" activeCell="A4" sqref="A4"/>
      <selection pane="bottomRight" activeCell="Z15" sqref="Z15"/>
    </sheetView>
  </sheetViews>
  <sheetFormatPr defaultRowHeight="14.5" x14ac:dyDescent="0.35"/>
  <cols>
    <col min="1" max="1" width="3.7265625" bestFit="1" customWidth="1"/>
    <col min="2" max="2" width="12.453125" bestFit="1" customWidth="1"/>
    <col min="3" max="3" width="7.54296875" bestFit="1" customWidth="1"/>
    <col min="4" max="4" width="11" bestFit="1" customWidth="1"/>
    <col min="5" max="5" width="13.6328125" bestFit="1" customWidth="1"/>
    <col min="6" max="6" width="13.26953125" bestFit="1" customWidth="1"/>
    <col min="10" max="10" width="8.1796875" bestFit="1" customWidth="1"/>
    <col min="11" max="11" width="10" bestFit="1" customWidth="1"/>
    <col min="12" max="12" width="9.54296875" customWidth="1"/>
    <col min="14" max="14" width="9.453125" customWidth="1"/>
    <col min="18" max="18" width="17.90625" bestFit="1" customWidth="1"/>
    <col min="19" max="19" width="14.26953125" bestFit="1" customWidth="1"/>
    <col min="21" max="21" width="19.26953125" bestFit="1" customWidth="1"/>
    <col min="22" max="22" width="16.54296875" bestFit="1" customWidth="1"/>
    <col min="25" max="25" width="27.36328125" bestFit="1" customWidth="1"/>
    <col min="26" max="26" width="13.81640625" bestFit="1" customWidth="1"/>
    <col min="28" max="28" width="21.453125" bestFit="1" customWidth="1"/>
  </cols>
  <sheetData>
    <row r="1" spans="1:26" ht="26" x14ac:dyDescent="0.6">
      <c r="A1" s="74" t="str" cm="1">
        <f t="array" aca="1" ref="A1" ca="1">MID(CELL("nomefile",A1),FIND("]",CELL("nomefile",A1))+1,255)</f>
        <v>Aprile 2021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51"/>
    </row>
    <row r="2" spans="1:26" ht="15" customHeight="1" x14ac:dyDescent="0.35">
      <c r="D2" s="76" t="s">
        <v>44</v>
      </c>
      <c r="E2" s="76"/>
      <c r="F2" s="76"/>
      <c r="G2" s="76"/>
      <c r="H2" s="77" t="s">
        <v>45</v>
      </c>
      <c r="I2" s="77"/>
      <c r="J2" s="78" t="s">
        <v>48</v>
      </c>
      <c r="K2" s="78"/>
      <c r="L2" s="78"/>
      <c r="M2" s="78"/>
      <c r="N2" s="78"/>
      <c r="O2" s="78"/>
      <c r="P2" s="79" t="s">
        <v>8</v>
      </c>
      <c r="Q2" s="80"/>
      <c r="S2" s="1" t="s">
        <v>17</v>
      </c>
    </row>
    <row r="3" spans="1:26" ht="29.5" thickBot="1" x14ac:dyDescent="0.4">
      <c r="D3" s="19" t="s">
        <v>49</v>
      </c>
      <c r="E3" s="4" t="s">
        <v>54</v>
      </c>
      <c r="F3" s="19" t="s">
        <v>52</v>
      </c>
      <c r="G3" s="4" t="s">
        <v>0</v>
      </c>
      <c r="H3" s="5" t="s">
        <v>46</v>
      </c>
      <c r="I3" s="5" t="s">
        <v>47</v>
      </c>
      <c r="J3" s="6" t="s">
        <v>50</v>
      </c>
      <c r="K3" s="6" t="s">
        <v>11</v>
      </c>
      <c r="L3" s="6" t="s">
        <v>51</v>
      </c>
      <c r="M3" s="6" t="s">
        <v>12</v>
      </c>
      <c r="N3" s="6" t="s">
        <v>10</v>
      </c>
      <c r="O3" s="6" t="s">
        <v>0</v>
      </c>
      <c r="P3" s="7"/>
      <c r="Q3" s="7" t="s">
        <v>26</v>
      </c>
      <c r="R3" s="52" t="s">
        <v>25</v>
      </c>
      <c r="S3" s="2">
        <f>V23</f>
        <v>0</v>
      </c>
    </row>
    <row r="4" spans="1:26" ht="15" customHeight="1" x14ac:dyDescent="0.45">
      <c r="A4" s="64" t="s">
        <v>9</v>
      </c>
      <c r="B4" s="8" t="s">
        <v>33</v>
      </c>
      <c r="C4" s="3" t="s">
        <v>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21"/>
      <c r="R4" s="20">
        <f t="shared" ref="R4:R10" si="0">SUM(D4:Q4)</f>
        <v>0</v>
      </c>
      <c r="U4" s="67" t="s">
        <v>18</v>
      </c>
      <c r="V4" s="26" t="s">
        <v>27</v>
      </c>
      <c r="W4" s="10"/>
      <c r="Y4" s="48" t="s">
        <v>40</v>
      </c>
      <c r="Z4" s="48">
        <f>SUM(W13:W21)+R12+R21+R30+R39+R48+R57</f>
        <v>0</v>
      </c>
    </row>
    <row r="5" spans="1:26" ht="15" customHeight="1" x14ac:dyDescent="0.35">
      <c r="A5" s="64"/>
      <c r="B5" s="8" t="s">
        <v>33</v>
      </c>
      <c r="C5" s="3" t="s">
        <v>2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20"/>
      <c r="R5" s="20">
        <f t="shared" si="0"/>
        <v>0</v>
      </c>
      <c r="U5" s="68"/>
      <c r="V5" s="31"/>
      <c r="W5" s="11"/>
    </row>
    <row r="6" spans="1:26" ht="15" customHeight="1" x14ac:dyDescent="0.45">
      <c r="A6" s="64"/>
      <c r="B6" s="8" t="s">
        <v>33</v>
      </c>
      <c r="C6" s="3" t="s">
        <v>3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20">
        <f t="shared" si="0"/>
        <v>0</v>
      </c>
      <c r="U6" s="68"/>
      <c r="V6" s="31"/>
      <c r="W6" s="11"/>
      <c r="Y6" s="48" t="s">
        <v>42</v>
      </c>
      <c r="Z6" s="48">
        <f>W11-Z4</f>
        <v>0</v>
      </c>
    </row>
    <row r="7" spans="1:26" ht="15" customHeight="1" x14ac:dyDescent="0.35">
      <c r="A7" s="64"/>
      <c r="B7" s="8">
        <v>44287</v>
      </c>
      <c r="C7" s="3" t="s">
        <v>4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20"/>
      <c r="R7" s="20">
        <f t="shared" si="0"/>
        <v>0</v>
      </c>
      <c r="U7" s="68"/>
      <c r="V7" s="31"/>
      <c r="W7" s="11"/>
    </row>
    <row r="8" spans="1:26" ht="15" customHeight="1" x14ac:dyDescent="0.35">
      <c r="A8" s="64"/>
      <c r="B8" s="8">
        <v>44288</v>
      </c>
      <c r="C8" s="3" t="s">
        <v>5</v>
      </c>
      <c r="D8" s="18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>
        <f t="shared" si="0"/>
        <v>0</v>
      </c>
      <c r="U8" s="68"/>
      <c r="V8" s="31"/>
      <c r="W8" s="11"/>
    </row>
    <row r="9" spans="1:26" ht="15" customHeight="1" x14ac:dyDescent="0.35">
      <c r="A9" s="64"/>
      <c r="B9" s="8">
        <v>44289</v>
      </c>
      <c r="C9" s="3" t="s">
        <v>6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20"/>
      <c r="R9" s="20">
        <f t="shared" si="0"/>
        <v>0</v>
      </c>
      <c r="U9" s="68"/>
      <c r="V9" s="31"/>
      <c r="W9" s="11"/>
    </row>
    <row r="10" spans="1:26" ht="15" customHeight="1" thickBot="1" x14ac:dyDescent="0.4">
      <c r="A10" s="64"/>
      <c r="B10" s="8">
        <v>44290</v>
      </c>
      <c r="C10" s="3" t="s">
        <v>7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22"/>
      <c r="R10" s="20">
        <f t="shared" si="0"/>
        <v>0</v>
      </c>
      <c r="U10" s="68"/>
      <c r="V10" s="31"/>
      <c r="W10" s="11"/>
    </row>
    <row r="11" spans="1:26" ht="15" thickBot="1" x14ac:dyDescent="0.4">
      <c r="A11" s="64"/>
      <c r="C11" s="3" t="s">
        <v>13</v>
      </c>
      <c r="D11" s="35">
        <f>SUM(D4:D10)</f>
        <v>0</v>
      </c>
      <c r="E11" s="36">
        <f t="shared" ref="E11:P11" si="1">SUM(E4:E10)</f>
        <v>0</v>
      </c>
      <c r="F11" s="36">
        <f t="shared" si="1"/>
        <v>0</v>
      </c>
      <c r="G11" s="36">
        <f t="shared" si="1"/>
        <v>0</v>
      </c>
      <c r="H11" s="37">
        <f t="shared" si="1"/>
        <v>0</v>
      </c>
      <c r="I11" s="37">
        <f t="shared" si="1"/>
        <v>0</v>
      </c>
      <c r="J11" s="38">
        <f t="shared" si="1"/>
        <v>0</v>
      </c>
      <c r="K11" s="38">
        <f t="shared" si="1"/>
        <v>0</v>
      </c>
      <c r="L11" s="38">
        <f t="shared" si="1"/>
        <v>0</v>
      </c>
      <c r="M11" s="38">
        <f t="shared" si="1"/>
        <v>0</v>
      </c>
      <c r="N11" s="38">
        <f t="shared" si="1"/>
        <v>0</v>
      </c>
      <c r="O11" s="38">
        <f t="shared" si="1"/>
        <v>0</v>
      </c>
      <c r="P11" s="23">
        <f t="shared" si="1"/>
        <v>0</v>
      </c>
      <c r="Q11" s="23">
        <f>SUM(Q4:Q10)</f>
        <v>0</v>
      </c>
      <c r="R11" s="24" t="s">
        <v>56</v>
      </c>
      <c r="S11" s="2" t="s">
        <v>21</v>
      </c>
      <c r="U11" s="69"/>
      <c r="V11" s="49" t="s">
        <v>13</v>
      </c>
      <c r="W11" s="9">
        <f>SUM(W4:W10)</f>
        <v>0</v>
      </c>
    </row>
    <row r="12" spans="1:26" ht="15" thickBot="1" x14ac:dyDescent="0.4">
      <c r="A12" s="29"/>
      <c r="C12" s="3"/>
      <c r="D12" s="70">
        <f>SUM(D11:G11)</f>
        <v>0</v>
      </c>
      <c r="E12" s="71"/>
      <c r="F12" s="71"/>
      <c r="G12" s="71"/>
      <c r="H12" s="72">
        <f>SUM(H11:I11)</f>
        <v>0</v>
      </c>
      <c r="I12" s="72"/>
      <c r="J12" s="73">
        <f>SUM(J11:O11)</f>
        <v>0</v>
      </c>
      <c r="K12" s="73"/>
      <c r="L12" s="73"/>
      <c r="M12" s="73"/>
      <c r="N12" s="73"/>
      <c r="O12" s="73"/>
      <c r="P12" s="62">
        <f>SUM(P11:Q11)</f>
        <v>0</v>
      </c>
      <c r="Q12" s="63"/>
      <c r="R12" s="9">
        <f t="shared" ref="R12:R19" si="2">SUM(D12:Q12)</f>
        <v>0</v>
      </c>
      <c r="S12" s="9">
        <f>$S$3-R12</f>
        <v>0</v>
      </c>
      <c r="U12" s="1"/>
      <c r="V12" s="1"/>
    </row>
    <row r="13" spans="1:26" x14ac:dyDescent="0.35">
      <c r="A13" s="29"/>
      <c r="B13" s="8">
        <v>44291</v>
      </c>
      <c r="C13" s="3" t="s">
        <v>1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0"/>
      <c r="Q13" s="21"/>
      <c r="R13" s="33">
        <f t="shared" si="2"/>
        <v>0</v>
      </c>
      <c r="U13" s="67" t="s">
        <v>19</v>
      </c>
      <c r="V13" s="26" t="s">
        <v>20</v>
      </c>
      <c r="W13" s="10"/>
    </row>
    <row r="14" spans="1:26" x14ac:dyDescent="0.35">
      <c r="A14" s="64" t="s">
        <v>14</v>
      </c>
      <c r="B14" s="8">
        <v>44292</v>
      </c>
      <c r="C14" s="3" t="s">
        <v>2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>
        <f t="shared" si="2"/>
        <v>0</v>
      </c>
      <c r="U14" s="68"/>
      <c r="V14" s="31" t="s">
        <v>35</v>
      </c>
      <c r="W14" s="11"/>
    </row>
    <row r="15" spans="1:26" x14ac:dyDescent="0.35">
      <c r="A15" s="64"/>
      <c r="B15" s="8">
        <v>44293</v>
      </c>
      <c r="C15" s="3" t="s">
        <v>3</v>
      </c>
      <c r="D15" s="20"/>
      <c r="E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>
        <f t="shared" si="2"/>
        <v>0</v>
      </c>
      <c r="U15" s="68"/>
      <c r="V15" s="31" t="s">
        <v>37</v>
      </c>
      <c r="W15" s="11"/>
    </row>
    <row r="16" spans="1:26" ht="15.75" customHeight="1" x14ac:dyDescent="0.35">
      <c r="A16" s="64"/>
      <c r="B16" s="8">
        <v>44294</v>
      </c>
      <c r="C16" s="3" t="s">
        <v>4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>
        <f t="shared" si="2"/>
        <v>0</v>
      </c>
      <c r="U16" s="68"/>
      <c r="V16" s="31" t="s">
        <v>38</v>
      </c>
      <c r="W16" s="11"/>
    </row>
    <row r="17" spans="1:27" x14ac:dyDescent="0.35">
      <c r="A17" s="64"/>
      <c r="B17" s="8">
        <v>44295</v>
      </c>
      <c r="C17" s="3" t="s">
        <v>5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>
        <f t="shared" si="2"/>
        <v>0</v>
      </c>
      <c r="U17" s="68"/>
      <c r="V17" s="31" t="s">
        <v>36</v>
      </c>
      <c r="W17" s="11"/>
    </row>
    <row r="18" spans="1:27" x14ac:dyDescent="0.35">
      <c r="A18" s="64"/>
      <c r="B18" s="8">
        <v>44296</v>
      </c>
      <c r="C18" s="3" t="s">
        <v>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>
        <f t="shared" si="2"/>
        <v>0</v>
      </c>
      <c r="U18" s="68"/>
      <c r="V18" s="31"/>
      <c r="W18" s="11"/>
      <c r="X18" s="13"/>
    </row>
    <row r="19" spans="1:27" ht="15.75" customHeight="1" thickBot="1" x14ac:dyDescent="0.4">
      <c r="A19" s="64"/>
      <c r="B19" s="8">
        <v>44297</v>
      </c>
      <c r="C19" s="3" t="s">
        <v>7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34">
        <f t="shared" si="2"/>
        <v>0</v>
      </c>
      <c r="U19" s="68"/>
      <c r="V19" s="45"/>
      <c r="W19" s="11"/>
      <c r="X19" s="13"/>
    </row>
    <row r="20" spans="1:27" ht="15" thickBot="1" x14ac:dyDescent="0.4">
      <c r="A20" s="64"/>
      <c r="C20" s="3" t="s">
        <v>13</v>
      </c>
      <c r="D20" s="14">
        <f t="shared" ref="D20:Q20" si="3">SUM(D13:D19)</f>
        <v>0</v>
      </c>
      <c r="E20" s="14">
        <f t="shared" si="3"/>
        <v>0</v>
      </c>
      <c r="F20" s="14">
        <f t="shared" si="3"/>
        <v>0</v>
      </c>
      <c r="G20" s="14">
        <f t="shared" si="3"/>
        <v>0</v>
      </c>
      <c r="H20" s="15">
        <f t="shared" si="3"/>
        <v>0</v>
      </c>
      <c r="I20" s="15">
        <f t="shared" si="3"/>
        <v>0</v>
      </c>
      <c r="J20" s="16">
        <f t="shared" si="3"/>
        <v>0</v>
      </c>
      <c r="K20" s="16">
        <f t="shared" si="3"/>
        <v>0</v>
      </c>
      <c r="L20" s="16">
        <f t="shared" si="3"/>
        <v>0</v>
      </c>
      <c r="M20" s="16">
        <f t="shared" si="3"/>
        <v>0</v>
      </c>
      <c r="N20" s="16">
        <f t="shared" si="3"/>
        <v>0</v>
      </c>
      <c r="O20" s="16">
        <f t="shared" si="3"/>
        <v>0</v>
      </c>
      <c r="P20" s="25">
        <f t="shared" si="3"/>
        <v>0</v>
      </c>
      <c r="Q20" s="25">
        <f t="shared" si="3"/>
        <v>0</v>
      </c>
      <c r="R20" s="24" t="s">
        <v>56</v>
      </c>
      <c r="S20" s="2" t="s">
        <v>22</v>
      </c>
      <c r="U20" s="68"/>
      <c r="V20" s="45"/>
      <c r="W20" s="11"/>
    </row>
    <row r="21" spans="1:27" ht="15" thickBot="1" x14ac:dyDescent="0.4">
      <c r="A21" s="29"/>
      <c r="C21" s="3"/>
      <c r="D21" s="71">
        <f>SUM(D20:G20)</f>
        <v>0</v>
      </c>
      <c r="E21" s="71"/>
      <c r="F21" s="71"/>
      <c r="G21" s="71"/>
      <c r="H21" s="72">
        <f>SUM(H20:I20)</f>
        <v>0</v>
      </c>
      <c r="I21" s="72"/>
      <c r="J21" s="73">
        <f>SUM(J20:O20)</f>
        <v>0</v>
      </c>
      <c r="K21" s="73"/>
      <c r="L21" s="73"/>
      <c r="M21" s="73"/>
      <c r="N21" s="73"/>
      <c r="O21" s="73"/>
      <c r="P21" s="62">
        <f>SUM(P20:Q20)</f>
        <v>0</v>
      </c>
      <c r="Q21" s="63"/>
      <c r="R21" s="9">
        <f t="shared" ref="R21:R28" si="4">SUM(D21:Q21)</f>
        <v>0</v>
      </c>
      <c r="S21" s="9">
        <f>S12-R21</f>
        <v>0</v>
      </c>
      <c r="U21" s="69"/>
      <c r="V21" s="46"/>
      <c r="W21" s="47"/>
      <c r="X21" s="13"/>
    </row>
    <row r="22" spans="1:27" ht="15" thickBot="1" x14ac:dyDescent="0.4">
      <c r="A22" s="29"/>
      <c r="B22" s="8">
        <v>44298</v>
      </c>
      <c r="C22" s="3" t="s">
        <v>1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0"/>
      <c r="Q22" s="21"/>
      <c r="R22" s="33">
        <f t="shared" si="4"/>
        <v>0</v>
      </c>
      <c r="Z22" t="s">
        <v>44</v>
      </c>
      <c r="AA22">
        <f>D59</f>
        <v>0</v>
      </c>
    </row>
    <row r="23" spans="1:27" ht="15" thickBot="1" x14ac:dyDescent="0.4">
      <c r="A23" s="64" t="s">
        <v>15</v>
      </c>
      <c r="B23" s="8">
        <v>44299</v>
      </c>
      <c r="C23" s="3" t="s">
        <v>2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>
        <f t="shared" si="4"/>
        <v>0</v>
      </c>
      <c r="U23" s="12" t="s">
        <v>17</v>
      </c>
      <c r="V23" s="65">
        <f t="shared" ref="V23" si="5">W11-SUM(W13:W21)</f>
        <v>0</v>
      </c>
      <c r="W23" s="66"/>
      <c r="Z23" t="s">
        <v>45</v>
      </c>
      <c r="AA23">
        <f>H59</f>
        <v>0</v>
      </c>
    </row>
    <row r="24" spans="1:27" x14ac:dyDescent="0.35">
      <c r="A24" s="64"/>
      <c r="B24" s="8">
        <v>44300</v>
      </c>
      <c r="C24" s="3" t="s">
        <v>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>
        <f t="shared" si="4"/>
        <v>0</v>
      </c>
      <c r="Z24" t="s">
        <v>48</v>
      </c>
      <c r="AA24">
        <f>J59</f>
        <v>0</v>
      </c>
    </row>
    <row r="25" spans="1:27" x14ac:dyDescent="0.35">
      <c r="A25" s="64"/>
      <c r="B25" s="8">
        <v>44301</v>
      </c>
      <c r="C25" s="3" t="s">
        <v>4</v>
      </c>
      <c r="D25" s="20"/>
      <c r="E25" s="20"/>
      <c r="F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>
        <f t="shared" si="4"/>
        <v>0</v>
      </c>
      <c r="U25">
        <f>S3-S48</f>
        <v>0</v>
      </c>
      <c r="Z25" t="s">
        <v>53</v>
      </c>
      <c r="AA25">
        <f>P59</f>
        <v>0</v>
      </c>
    </row>
    <row r="26" spans="1:27" x14ac:dyDescent="0.35">
      <c r="A26" s="64"/>
      <c r="B26" s="8">
        <v>44302</v>
      </c>
      <c r="C26" s="3" t="s">
        <v>5</v>
      </c>
      <c r="D26" s="20"/>
      <c r="E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>
        <f t="shared" si="4"/>
        <v>0</v>
      </c>
      <c r="Z26" t="s">
        <v>83</v>
      </c>
      <c r="AA26">
        <f>W13</f>
        <v>0</v>
      </c>
    </row>
    <row r="27" spans="1:27" x14ac:dyDescent="0.35">
      <c r="A27" s="64"/>
      <c r="B27" s="8">
        <v>44303</v>
      </c>
      <c r="C27" s="3" t="s">
        <v>6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>
        <f t="shared" si="4"/>
        <v>0</v>
      </c>
      <c r="Z27" t="s">
        <v>84</v>
      </c>
      <c r="AA27">
        <f>SUM(W14:W17)</f>
        <v>0</v>
      </c>
    </row>
    <row r="28" spans="1:27" ht="15" customHeight="1" thickBot="1" x14ac:dyDescent="0.4">
      <c r="A28" s="64"/>
      <c r="B28" s="8">
        <v>44304</v>
      </c>
      <c r="C28" s="3" t="s">
        <v>7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34">
        <f t="shared" si="4"/>
        <v>0</v>
      </c>
    </row>
    <row r="29" spans="1:27" ht="15" thickBot="1" x14ac:dyDescent="0.4">
      <c r="A29" s="64"/>
      <c r="C29" s="3" t="s">
        <v>13</v>
      </c>
      <c r="D29" s="14">
        <f t="shared" ref="D29:Q29" si="6">SUM(D22:D28)</f>
        <v>0</v>
      </c>
      <c r="E29" s="14">
        <f>SUM(E22:E28)</f>
        <v>0</v>
      </c>
      <c r="F29" s="14">
        <f t="shared" si="6"/>
        <v>0</v>
      </c>
      <c r="G29" s="14">
        <f t="shared" si="6"/>
        <v>0</v>
      </c>
      <c r="H29" s="15">
        <f t="shared" si="6"/>
        <v>0</v>
      </c>
      <c r="I29" s="15">
        <f t="shared" si="6"/>
        <v>0</v>
      </c>
      <c r="J29" s="16">
        <f t="shared" si="6"/>
        <v>0</v>
      </c>
      <c r="K29" s="16">
        <f t="shared" si="6"/>
        <v>0</v>
      </c>
      <c r="L29" s="16">
        <f t="shared" si="6"/>
        <v>0</v>
      </c>
      <c r="M29" s="16">
        <f t="shared" si="6"/>
        <v>0</v>
      </c>
      <c r="N29" s="16">
        <f t="shared" si="6"/>
        <v>0</v>
      </c>
      <c r="O29" s="16">
        <f t="shared" si="6"/>
        <v>0</v>
      </c>
      <c r="P29" s="23">
        <f t="shared" si="6"/>
        <v>0</v>
      </c>
      <c r="Q29" s="23">
        <f t="shared" si="6"/>
        <v>0</v>
      </c>
      <c r="R29" s="24" t="s">
        <v>56</v>
      </c>
      <c r="S29" s="2" t="s">
        <v>23</v>
      </c>
    </row>
    <row r="30" spans="1:27" ht="15" thickBot="1" x14ac:dyDescent="0.4">
      <c r="A30" s="29"/>
      <c r="C30" s="3"/>
      <c r="D30" s="54">
        <f>SUM(D29:G29)</f>
        <v>0</v>
      </c>
      <c r="E30" s="55"/>
      <c r="F30" s="55"/>
      <c r="G30" s="56"/>
      <c r="H30" s="57">
        <f>SUM(H29:I29)</f>
        <v>0</v>
      </c>
      <c r="I30" s="58"/>
      <c r="J30" s="59">
        <f>SUM(J29:O29)</f>
        <v>0</v>
      </c>
      <c r="K30" s="60"/>
      <c r="L30" s="60"/>
      <c r="M30" s="60"/>
      <c r="N30" s="60"/>
      <c r="O30" s="61"/>
      <c r="P30" s="62">
        <f>SUM(P29:Q29)</f>
        <v>0</v>
      </c>
      <c r="Q30" s="63"/>
      <c r="R30" s="9">
        <f t="shared" ref="R30:R37" si="7">SUM(D30:Q30)</f>
        <v>0</v>
      </c>
      <c r="S30" s="9">
        <f>S21-R30</f>
        <v>0</v>
      </c>
    </row>
    <row r="31" spans="1:27" x14ac:dyDescent="0.35">
      <c r="A31" s="29"/>
      <c r="B31" s="8">
        <v>44305</v>
      </c>
      <c r="C31" s="3" t="s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0"/>
      <c r="Q31" s="21"/>
      <c r="R31" s="33">
        <f t="shared" si="7"/>
        <v>0</v>
      </c>
    </row>
    <row r="32" spans="1:27" x14ac:dyDescent="0.35">
      <c r="A32" s="64" t="s">
        <v>16</v>
      </c>
      <c r="B32" s="8">
        <v>44306</v>
      </c>
      <c r="C32" s="3" t="s">
        <v>2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>
        <f t="shared" si="7"/>
        <v>0</v>
      </c>
    </row>
    <row r="33" spans="1:19" x14ac:dyDescent="0.35">
      <c r="A33" s="64"/>
      <c r="B33" s="8">
        <v>44307</v>
      </c>
      <c r="C33" s="3" t="s">
        <v>3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>
        <f t="shared" si="7"/>
        <v>0</v>
      </c>
    </row>
    <row r="34" spans="1:19" x14ac:dyDescent="0.35">
      <c r="A34" s="64"/>
      <c r="B34" s="8">
        <v>44308</v>
      </c>
      <c r="C34" s="3" t="s">
        <v>4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>
        <f t="shared" si="7"/>
        <v>0</v>
      </c>
    </row>
    <row r="35" spans="1:19" x14ac:dyDescent="0.35">
      <c r="A35" s="64"/>
      <c r="B35" s="8">
        <v>44309</v>
      </c>
      <c r="C35" s="3" t="s">
        <v>5</v>
      </c>
      <c r="D35" s="20"/>
      <c r="F35" s="20"/>
      <c r="G35" s="20"/>
      <c r="H35" s="20"/>
      <c r="J35" s="20"/>
      <c r="K35" s="20"/>
      <c r="L35" s="20"/>
      <c r="N35" s="20"/>
      <c r="O35" s="20"/>
      <c r="P35" s="20"/>
      <c r="Q35" s="20"/>
      <c r="R35" s="20">
        <f t="shared" si="7"/>
        <v>0</v>
      </c>
    </row>
    <row r="36" spans="1:19" x14ac:dyDescent="0.35">
      <c r="A36" s="64"/>
      <c r="B36" s="8">
        <v>44310</v>
      </c>
      <c r="C36" s="3" t="s">
        <v>6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>
        <f t="shared" si="7"/>
        <v>0</v>
      </c>
    </row>
    <row r="37" spans="1:19" ht="15" customHeight="1" thickBot="1" x14ac:dyDescent="0.4">
      <c r="A37" s="64"/>
      <c r="B37" s="8">
        <v>44311</v>
      </c>
      <c r="C37" s="3" t="s">
        <v>7</v>
      </c>
      <c r="D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34">
        <f t="shared" si="7"/>
        <v>0</v>
      </c>
    </row>
    <row r="38" spans="1:19" ht="15" thickBot="1" x14ac:dyDescent="0.4">
      <c r="A38" s="64"/>
      <c r="C38" s="3" t="s">
        <v>13</v>
      </c>
      <c r="D38" s="14">
        <f>SUM(D31:D37)</f>
        <v>0</v>
      </c>
      <c r="E38" s="14">
        <f t="shared" ref="E38:Q38" si="8">SUM(E31:E37)</f>
        <v>0</v>
      </c>
      <c r="F38" s="14">
        <f t="shared" si="8"/>
        <v>0</v>
      </c>
      <c r="G38" s="14">
        <f t="shared" si="8"/>
        <v>0</v>
      </c>
      <c r="H38" s="15">
        <f t="shared" si="8"/>
        <v>0</v>
      </c>
      <c r="I38" s="15">
        <f t="shared" si="8"/>
        <v>0</v>
      </c>
      <c r="J38" s="16">
        <f t="shared" si="8"/>
        <v>0</v>
      </c>
      <c r="K38" s="16">
        <f t="shared" si="8"/>
        <v>0</v>
      </c>
      <c r="L38" s="16">
        <f t="shared" si="8"/>
        <v>0</v>
      </c>
      <c r="M38" s="16">
        <f t="shared" si="8"/>
        <v>0</v>
      </c>
      <c r="N38" s="16">
        <f t="shared" si="8"/>
        <v>0</v>
      </c>
      <c r="O38" s="16">
        <f t="shared" si="8"/>
        <v>0</v>
      </c>
      <c r="P38" s="25">
        <f t="shared" si="8"/>
        <v>0</v>
      </c>
      <c r="Q38" s="25">
        <f t="shared" si="8"/>
        <v>0</v>
      </c>
      <c r="R38" s="24" t="s">
        <v>56</v>
      </c>
      <c r="S38" s="2" t="s">
        <v>24</v>
      </c>
    </row>
    <row r="39" spans="1:19" ht="15" thickBot="1" x14ac:dyDescent="0.4">
      <c r="A39" s="29"/>
      <c r="C39" s="3"/>
      <c r="D39" s="54">
        <f t="shared" ref="D39" si="9">SUM(D38:G38)</f>
        <v>0</v>
      </c>
      <c r="E39" s="55"/>
      <c r="F39" s="55"/>
      <c r="G39" s="56"/>
      <c r="H39" s="57">
        <f>SUM(H38:I38)</f>
        <v>0</v>
      </c>
      <c r="I39" s="58"/>
      <c r="J39" s="59">
        <f>SUM(J38:O38)</f>
        <v>0</v>
      </c>
      <c r="K39" s="60"/>
      <c r="L39" s="60"/>
      <c r="M39" s="60"/>
      <c r="N39" s="60"/>
      <c r="O39" s="61"/>
      <c r="P39" s="62">
        <f>SUM(P38:Q38)</f>
        <v>0</v>
      </c>
      <c r="Q39" s="63"/>
      <c r="R39" s="9">
        <f t="shared" ref="R39:R46" si="10">SUM(D39:Q39)</f>
        <v>0</v>
      </c>
      <c r="S39" s="9">
        <f>S30-R39</f>
        <v>0</v>
      </c>
    </row>
    <row r="40" spans="1:19" x14ac:dyDescent="0.35">
      <c r="A40" s="29"/>
      <c r="B40" s="8">
        <v>44312</v>
      </c>
      <c r="C40" s="3" t="s">
        <v>1</v>
      </c>
      <c r="D40" s="27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33">
        <f t="shared" si="10"/>
        <v>0</v>
      </c>
    </row>
    <row r="41" spans="1:19" ht="15" customHeight="1" x14ac:dyDescent="0.35">
      <c r="A41" s="64" t="s">
        <v>29</v>
      </c>
      <c r="B41" s="8">
        <v>44313</v>
      </c>
      <c r="C41" s="3" t="s">
        <v>2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>
        <f t="shared" si="10"/>
        <v>0</v>
      </c>
    </row>
    <row r="42" spans="1:19" x14ac:dyDescent="0.35">
      <c r="A42" s="64"/>
      <c r="B42" s="8">
        <v>44314</v>
      </c>
      <c r="C42" s="3" t="s">
        <v>3</v>
      </c>
      <c r="D42" s="28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>
        <f t="shared" si="10"/>
        <v>0</v>
      </c>
    </row>
    <row r="43" spans="1:19" x14ac:dyDescent="0.35">
      <c r="A43" s="64"/>
      <c r="B43" s="8">
        <v>44315</v>
      </c>
      <c r="C43" s="3" t="s">
        <v>4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>
        <f t="shared" si="10"/>
        <v>0</v>
      </c>
    </row>
    <row r="44" spans="1:19" ht="16.5" customHeight="1" x14ac:dyDescent="0.35">
      <c r="A44" s="64"/>
      <c r="B44" s="8">
        <v>44316</v>
      </c>
      <c r="C44" s="3" t="s">
        <v>5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>
        <f t="shared" si="10"/>
        <v>0</v>
      </c>
    </row>
    <row r="45" spans="1:19" x14ac:dyDescent="0.35">
      <c r="A45" s="64"/>
      <c r="B45" s="8" t="s">
        <v>33</v>
      </c>
      <c r="C45" s="3" t="s">
        <v>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>
        <f t="shared" si="10"/>
        <v>0</v>
      </c>
    </row>
    <row r="46" spans="1:19" ht="15" thickBot="1" x14ac:dyDescent="0.4">
      <c r="A46" s="50"/>
      <c r="B46" s="8" t="s">
        <v>33</v>
      </c>
      <c r="C46" s="3" t="s">
        <v>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34">
        <f t="shared" si="10"/>
        <v>0</v>
      </c>
    </row>
    <row r="47" spans="1:19" ht="15" thickBot="1" x14ac:dyDescent="0.4">
      <c r="A47" s="50"/>
      <c r="B47" s="8"/>
      <c r="C47" s="3" t="s">
        <v>13</v>
      </c>
      <c r="D47" s="14">
        <f t="shared" ref="D47:Q47" si="11">SUM(D40:D46)</f>
        <v>0</v>
      </c>
      <c r="E47" s="14">
        <f t="shared" si="11"/>
        <v>0</v>
      </c>
      <c r="F47" s="14">
        <f t="shared" si="11"/>
        <v>0</v>
      </c>
      <c r="G47" s="14">
        <f t="shared" si="11"/>
        <v>0</v>
      </c>
      <c r="H47" s="15">
        <f t="shared" si="11"/>
        <v>0</v>
      </c>
      <c r="I47" s="15">
        <f t="shared" si="11"/>
        <v>0</v>
      </c>
      <c r="J47" s="16">
        <f t="shared" si="11"/>
        <v>0</v>
      </c>
      <c r="K47" s="16">
        <f t="shared" si="11"/>
        <v>0</v>
      </c>
      <c r="L47" s="16">
        <f t="shared" si="11"/>
        <v>0</v>
      </c>
      <c r="M47" s="16">
        <f t="shared" si="11"/>
        <v>0</v>
      </c>
      <c r="N47" s="16">
        <f t="shared" si="11"/>
        <v>0</v>
      </c>
      <c r="O47" s="16">
        <f t="shared" si="11"/>
        <v>0</v>
      </c>
      <c r="P47" s="17">
        <f t="shared" si="11"/>
        <v>0</v>
      </c>
      <c r="Q47" s="17">
        <f t="shared" si="11"/>
        <v>0</v>
      </c>
      <c r="R47" s="24" t="s">
        <v>56</v>
      </c>
      <c r="S47" s="2" t="s">
        <v>28</v>
      </c>
    </row>
    <row r="48" spans="1:19" ht="15" thickBot="1" x14ac:dyDescent="0.4">
      <c r="C48" s="3"/>
      <c r="D48" s="54">
        <f>SUM(D47:G47)</f>
        <v>0</v>
      </c>
      <c r="E48" s="55"/>
      <c r="F48" s="55"/>
      <c r="G48" s="56"/>
      <c r="H48" s="57">
        <f>SUM(H47:I47)</f>
        <v>0</v>
      </c>
      <c r="I48" s="58"/>
      <c r="J48" s="59">
        <f>SUM(J47:O47)</f>
        <v>0</v>
      </c>
      <c r="K48" s="60"/>
      <c r="L48" s="60"/>
      <c r="M48" s="60"/>
      <c r="N48" s="60"/>
      <c r="O48" s="61"/>
      <c r="P48" s="62">
        <f>SUM(P47:Q47)</f>
        <v>0</v>
      </c>
      <c r="Q48" s="63"/>
      <c r="R48" s="9">
        <f t="shared" ref="R48:R55" si="12">SUM(D48:Q48)</f>
        <v>0</v>
      </c>
      <c r="S48" s="9">
        <f>S39-R48</f>
        <v>0</v>
      </c>
    </row>
    <row r="49" spans="1:19" ht="15.75" customHeight="1" x14ac:dyDescent="0.35">
      <c r="A49" s="64" t="s">
        <v>30</v>
      </c>
      <c r="B49" s="8" t="s">
        <v>33</v>
      </c>
      <c r="C49" s="32" t="s">
        <v>1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33">
        <f t="shared" si="12"/>
        <v>0</v>
      </c>
    </row>
    <row r="50" spans="1:19" ht="15.75" customHeight="1" x14ac:dyDescent="0.35">
      <c r="A50" s="64"/>
      <c r="B50" s="8" t="s">
        <v>33</v>
      </c>
      <c r="C50" s="32" t="s">
        <v>2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>
        <f t="shared" si="12"/>
        <v>0</v>
      </c>
    </row>
    <row r="51" spans="1:19" ht="15.75" customHeight="1" x14ac:dyDescent="0.35">
      <c r="A51" s="64"/>
      <c r="B51" s="8" t="s">
        <v>33</v>
      </c>
      <c r="C51" s="32" t="s">
        <v>3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>
        <f t="shared" si="12"/>
        <v>0</v>
      </c>
    </row>
    <row r="52" spans="1:19" ht="15.75" customHeight="1" x14ac:dyDescent="0.35">
      <c r="A52" s="64"/>
      <c r="B52" s="8" t="s">
        <v>33</v>
      </c>
      <c r="C52" s="32" t="s">
        <v>4</v>
      </c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>
        <f t="shared" si="12"/>
        <v>0</v>
      </c>
    </row>
    <row r="53" spans="1:19" ht="15.75" customHeight="1" x14ac:dyDescent="0.35">
      <c r="A53" s="64"/>
      <c r="B53" s="8" t="s">
        <v>33</v>
      </c>
      <c r="C53" s="32" t="s">
        <v>5</v>
      </c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>
        <f t="shared" si="12"/>
        <v>0</v>
      </c>
    </row>
    <row r="54" spans="1:19" ht="15.75" customHeight="1" x14ac:dyDescent="0.35">
      <c r="A54" s="64"/>
      <c r="B54" s="8" t="s">
        <v>33</v>
      </c>
      <c r="C54" s="32" t="s">
        <v>6</v>
      </c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>
        <f t="shared" si="12"/>
        <v>0</v>
      </c>
    </row>
    <row r="55" spans="1:19" ht="15.75" customHeight="1" thickBot="1" x14ac:dyDescent="0.4">
      <c r="A55" s="64"/>
      <c r="B55" s="8" t="s">
        <v>33</v>
      </c>
      <c r="C55" s="32" t="s">
        <v>7</v>
      </c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0">
        <f t="shared" si="12"/>
        <v>0</v>
      </c>
    </row>
    <row r="56" spans="1:19" ht="15" thickBot="1" x14ac:dyDescent="0.4">
      <c r="A56" s="29"/>
      <c r="B56" s="8"/>
      <c r="C56" s="3" t="s">
        <v>13</v>
      </c>
      <c r="D56" s="39">
        <f t="shared" ref="D56:F56" si="13">SUM(D49:D55)</f>
        <v>0</v>
      </c>
      <c r="E56" s="39">
        <f t="shared" si="13"/>
        <v>0</v>
      </c>
      <c r="F56" s="39">
        <f t="shared" si="13"/>
        <v>0</v>
      </c>
      <c r="G56" s="39">
        <f>SUM(G49:G55)</f>
        <v>0</v>
      </c>
      <c r="H56" s="37">
        <f t="shared" ref="H56:Q56" si="14">SUM(H49:H55)</f>
        <v>0</v>
      </c>
      <c r="I56" s="37">
        <f t="shared" si="14"/>
        <v>0</v>
      </c>
      <c r="J56" s="38">
        <f t="shared" si="14"/>
        <v>0</v>
      </c>
      <c r="K56" s="38">
        <f t="shared" si="14"/>
        <v>0</v>
      </c>
      <c r="L56" s="38">
        <f t="shared" si="14"/>
        <v>0</v>
      </c>
      <c r="M56" s="38">
        <f t="shared" si="14"/>
        <v>0</v>
      </c>
      <c r="N56" s="38">
        <f t="shared" si="14"/>
        <v>0</v>
      </c>
      <c r="O56" s="38">
        <f t="shared" si="14"/>
        <v>0</v>
      </c>
      <c r="P56" s="40">
        <f t="shared" si="14"/>
        <v>0</v>
      </c>
      <c r="Q56" s="40">
        <f t="shared" si="14"/>
        <v>0</v>
      </c>
      <c r="R56" s="24" t="s">
        <v>56</v>
      </c>
      <c r="S56" s="2" t="s">
        <v>39</v>
      </c>
    </row>
    <row r="57" spans="1:19" ht="15" thickBot="1" x14ac:dyDescent="0.4">
      <c r="A57" s="29"/>
      <c r="C57" s="3"/>
      <c r="D57" s="54">
        <f>SUM(D56:G56)</f>
        <v>0</v>
      </c>
      <c r="E57" s="55"/>
      <c r="F57" s="55"/>
      <c r="G57" s="56"/>
      <c r="H57" s="57">
        <f>SUM(H56:I56)</f>
        <v>0</v>
      </c>
      <c r="I57" s="58"/>
      <c r="J57" s="59">
        <f>SUM(J56:O56)</f>
        <v>0</v>
      </c>
      <c r="K57" s="60"/>
      <c r="L57" s="60"/>
      <c r="M57" s="60"/>
      <c r="N57" s="60"/>
      <c r="O57" s="61"/>
      <c r="P57" s="62">
        <f>SUM(P56:Q56)</f>
        <v>0</v>
      </c>
      <c r="Q57" s="63"/>
      <c r="R57" s="9">
        <f>SUM(D57:Q57)</f>
        <v>0</v>
      </c>
      <c r="S57" s="9">
        <f>S48-R57</f>
        <v>0</v>
      </c>
    </row>
    <row r="58" spans="1:19" x14ac:dyDescent="0.35">
      <c r="A58" s="29"/>
    </row>
    <row r="59" spans="1:19" x14ac:dyDescent="0.35">
      <c r="A59" s="29"/>
      <c r="B59" t="s">
        <v>55</v>
      </c>
      <c r="D59" s="54">
        <f t="shared" ref="D59" si="15">D12+D21+D30+D39+D48+D57</f>
        <v>0</v>
      </c>
      <c r="E59" s="55"/>
      <c r="F59" s="55"/>
      <c r="G59" s="56"/>
      <c r="H59" s="57">
        <f t="shared" ref="H59" si="16">H12+H21+H30+H39+H48+H57</f>
        <v>0</v>
      </c>
      <c r="I59" s="58"/>
      <c r="J59" s="59">
        <f t="shared" ref="J59" si="17">J12+J21+J30+J39+J48+J57</f>
        <v>0</v>
      </c>
      <c r="K59" s="60"/>
      <c r="L59" s="60"/>
      <c r="M59" s="60"/>
      <c r="N59" s="60"/>
      <c r="O59" s="61"/>
      <c r="P59" s="62">
        <f t="shared" ref="P59" si="18">P12+P21+P30+P39+P48+P57</f>
        <v>0</v>
      </c>
      <c r="Q59" s="63"/>
      <c r="R59">
        <f>R12+R21+R30+R39+R48+R57</f>
        <v>0</v>
      </c>
    </row>
  </sheetData>
  <mergeCells count="42">
    <mergeCell ref="A1:P1"/>
    <mergeCell ref="D2:G2"/>
    <mergeCell ref="H2:I2"/>
    <mergeCell ref="J2:O2"/>
    <mergeCell ref="P2:Q2"/>
    <mergeCell ref="P21:Q21"/>
    <mergeCell ref="A23:A29"/>
    <mergeCell ref="U4:U11"/>
    <mergeCell ref="D12:G12"/>
    <mergeCell ref="H12:I12"/>
    <mergeCell ref="J12:O12"/>
    <mergeCell ref="P12:Q12"/>
    <mergeCell ref="U13:U21"/>
    <mergeCell ref="A4:A11"/>
    <mergeCell ref="A32:A38"/>
    <mergeCell ref="A14:A20"/>
    <mergeCell ref="D21:G21"/>
    <mergeCell ref="H21:I21"/>
    <mergeCell ref="J21:O21"/>
    <mergeCell ref="V23:W23"/>
    <mergeCell ref="D30:G30"/>
    <mergeCell ref="H30:I30"/>
    <mergeCell ref="J30:O30"/>
    <mergeCell ref="P30:Q30"/>
    <mergeCell ref="A41:A45"/>
    <mergeCell ref="D48:G48"/>
    <mergeCell ref="H48:I48"/>
    <mergeCell ref="J48:O48"/>
    <mergeCell ref="P48:Q48"/>
    <mergeCell ref="D59:G59"/>
    <mergeCell ref="H59:I59"/>
    <mergeCell ref="J59:O59"/>
    <mergeCell ref="P59:Q59"/>
    <mergeCell ref="D39:G39"/>
    <mergeCell ref="H39:I39"/>
    <mergeCell ref="J39:O39"/>
    <mergeCell ref="P39:Q39"/>
    <mergeCell ref="A49:A55"/>
    <mergeCell ref="D57:G57"/>
    <mergeCell ref="H57:I57"/>
    <mergeCell ref="J57:O57"/>
    <mergeCell ref="P57:Q57"/>
  </mergeCells>
  <conditionalFormatting sqref="Z6">
    <cfRule type="cellIs" dxfId="35" priority="1" operator="lessThan">
      <formula>-200</formula>
    </cfRule>
    <cfRule type="cellIs" dxfId="34" priority="2" operator="between">
      <formula>-200</formula>
      <formula>0</formula>
    </cfRule>
    <cfRule type="cellIs" dxfId="33" priority="3" operator="between">
      <formula>0</formula>
      <formula>200</formula>
    </cfRule>
    <cfRule type="cellIs" dxfId="32" priority="4" operator="greaterThan">
      <formula>200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4A4B3-5760-4C5D-8699-787FFADB7015}">
  <sheetPr codeName="Foglio5"/>
  <dimension ref="A1:AA59"/>
  <sheetViews>
    <sheetView zoomScale="55" zoomScaleNormal="5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X27" sqref="X27"/>
    </sheetView>
  </sheetViews>
  <sheetFormatPr defaultRowHeight="14.5" x14ac:dyDescent="0.35"/>
  <cols>
    <col min="1" max="1" width="3.7265625" bestFit="1" customWidth="1"/>
    <col min="2" max="2" width="12.453125" bestFit="1" customWidth="1"/>
    <col min="3" max="3" width="7.54296875" bestFit="1" customWidth="1"/>
    <col min="4" max="4" width="11" bestFit="1" customWidth="1"/>
    <col min="5" max="5" width="13.6328125" bestFit="1" customWidth="1"/>
    <col min="6" max="6" width="13.26953125" bestFit="1" customWidth="1"/>
    <col min="10" max="10" width="8.1796875" bestFit="1" customWidth="1"/>
    <col min="11" max="11" width="10" bestFit="1" customWidth="1"/>
    <col min="12" max="12" width="9.54296875" customWidth="1"/>
    <col min="14" max="14" width="9.453125" customWidth="1"/>
    <col min="18" max="18" width="17.90625" bestFit="1" customWidth="1"/>
    <col min="19" max="19" width="14.26953125" bestFit="1" customWidth="1"/>
    <col min="21" max="21" width="19.26953125" bestFit="1" customWidth="1"/>
    <col min="22" max="22" width="16.54296875" bestFit="1" customWidth="1"/>
    <col min="25" max="25" width="27.36328125" bestFit="1" customWidth="1"/>
    <col min="26" max="26" width="13.81640625" bestFit="1" customWidth="1"/>
    <col min="28" max="28" width="21.453125" bestFit="1" customWidth="1"/>
  </cols>
  <sheetData>
    <row r="1" spans="1:26" ht="26" x14ac:dyDescent="0.6">
      <c r="A1" s="74" t="str" cm="1">
        <f t="array" aca="1" ref="A1" ca="1">MID(CELL("nomefile",A1),FIND("]",CELL("nomefile",A1))+1,255)</f>
        <v>Maggio 2021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51"/>
    </row>
    <row r="2" spans="1:26" ht="15" customHeight="1" x14ac:dyDescent="0.35">
      <c r="D2" s="76" t="s">
        <v>44</v>
      </c>
      <c r="E2" s="76"/>
      <c r="F2" s="76"/>
      <c r="G2" s="76"/>
      <c r="H2" s="77" t="s">
        <v>45</v>
      </c>
      <c r="I2" s="77"/>
      <c r="J2" s="78" t="s">
        <v>48</v>
      </c>
      <c r="K2" s="78"/>
      <c r="L2" s="78"/>
      <c r="M2" s="78"/>
      <c r="N2" s="78"/>
      <c r="O2" s="78"/>
      <c r="P2" s="79" t="s">
        <v>8</v>
      </c>
      <c r="Q2" s="80"/>
      <c r="S2" s="1" t="s">
        <v>17</v>
      </c>
    </row>
    <row r="3" spans="1:26" ht="29.5" thickBot="1" x14ac:dyDescent="0.4">
      <c r="D3" s="19" t="s">
        <v>49</v>
      </c>
      <c r="E3" s="4" t="s">
        <v>54</v>
      </c>
      <c r="F3" s="19" t="s">
        <v>52</v>
      </c>
      <c r="G3" s="4" t="s">
        <v>0</v>
      </c>
      <c r="H3" s="5" t="s">
        <v>46</v>
      </c>
      <c r="I3" s="5" t="s">
        <v>47</v>
      </c>
      <c r="J3" s="6" t="s">
        <v>50</v>
      </c>
      <c r="K3" s="6" t="s">
        <v>11</v>
      </c>
      <c r="L3" s="6" t="s">
        <v>51</v>
      </c>
      <c r="M3" s="6" t="s">
        <v>12</v>
      </c>
      <c r="N3" s="6" t="s">
        <v>10</v>
      </c>
      <c r="O3" s="6" t="s">
        <v>0</v>
      </c>
      <c r="P3" s="7"/>
      <c r="Q3" s="7" t="s">
        <v>26</v>
      </c>
      <c r="R3" s="52" t="s">
        <v>25</v>
      </c>
      <c r="S3" s="2">
        <f>V23</f>
        <v>0</v>
      </c>
    </row>
    <row r="4" spans="1:26" ht="15" customHeight="1" x14ac:dyDescent="0.45">
      <c r="A4" s="64" t="s">
        <v>9</v>
      </c>
      <c r="B4" s="8" t="s">
        <v>33</v>
      </c>
      <c r="C4" s="3" t="s">
        <v>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21"/>
      <c r="R4" s="20">
        <f t="shared" ref="R4:R10" si="0">SUM(D4:Q4)</f>
        <v>0</v>
      </c>
      <c r="U4" s="67" t="s">
        <v>18</v>
      </c>
      <c r="V4" s="26" t="s">
        <v>27</v>
      </c>
      <c r="W4" s="10"/>
      <c r="Y4" s="48" t="s">
        <v>40</v>
      </c>
      <c r="Z4" s="48">
        <f>SUM(W13:W21)+R12+R21+R30+R39+R48+R57</f>
        <v>0</v>
      </c>
    </row>
    <row r="5" spans="1:26" ht="15" customHeight="1" x14ac:dyDescent="0.35">
      <c r="A5" s="64"/>
      <c r="B5" s="8" t="s">
        <v>33</v>
      </c>
      <c r="C5" s="3" t="s">
        <v>2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20"/>
      <c r="R5" s="20">
        <f t="shared" si="0"/>
        <v>0</v>
      </c>
      <c r="U5" s="68"/>
      <c r="V5" s="31"/>
      <c r="W5" s="11"/>
    </row>
    <row r="6" spans="1:26" ht="15" customHeight="1" x14ac:dyDescent="0.45">
      <c r="A6" s="64"/>
      <c r="B6" s="8" t="s">
        <v>33</v>
      </c>
      <c r="C6" s="3" t="s">
        <v>3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20">
        <f t="shared" si="0"/>
        <v>0</v>
      </c>
      <c r="U6" s="68"/>
      <c r="V6" s="31"/>
      <c r="W6" s="11"/>
      <c r="Y6" s="48" t="s">
        <v>42</v>
      </c>
      <c r="Z6" s="48">
        <f>W11-Z4</f>
        <v>0</v>
      </c>
    </row>
    <row r="7" spans="1:26" ht="15" customHeight="1" x14ac:dyDescent="0.35">
      <c r="A7" s="64"/>
      <c r="B7" s="8" t="s">
        <v>33</v>
      </c>
      <c r="C7" s="3" t="s">
        <v>4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20"/>
      <c r="R7" s="20">
        <f t="shared" si="0"/>
        <v>0</v>
      </c>
      <c r="U7" s="68"/>
      <c r="V7" s="31"/>
      <c r="W7" s="11"/>
    </row>
    <row r="8" spans="1:26" ht="15" customHeight="1" x14ac:dyDescent="0.35">
      <c r="A8" s="64"/>
      <c r="B8" s="8" t="s">
        <v>33</v>
      </c>
      <c r="C8" s="3" t="s">
        <v>5</v>
      </c>
      <c r="D8" s="18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>
        <f t="shared" si="0"/>
        <v>0</v>
      </c>
      <c r="U8" s="68"/>
      <c r="V8" s="31"/>
      <c r="W8" s="11"/>
    </row>
    <row r="9" spans="1:26" ht="15" customHeight="1" x14ac:dyDescent="0.35">
      <c r="A9" s="64"/>
      <c r="B9" s="8">
        <v>44317</v>
      </c>
      <c r="C9" s="3" t="s">
        <v>6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20"/>
      <c r="R9" s="20">
        <f t="shared" si="0"/>
        <v>0</v>
      </c>
      <c r="U9" s="68"/>
      <c r="V9" s="31"/>
      <c r="W9" s="11"/>
    </row>
    <row r="10" spans="1:26" ht="15" customHeight="1" thickBot="1" x14ac:dyDescent="0.4">
      <c r="A10" s="64"/>
      <c r="B10" s="8">
        <v>44318</v>
      </c>
      <c r="C10" s="3" t="s">
        <v>7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22"/>
      <c r="R10" s="20">
        <f t="shared" si="0"/>
        <v>0</v>
      </c>
      <c r="U10" s="68"/>
      <c r="V10" s="31"/>
      <c r="W10" s="11"/>
    </row>
    <row r="11" spans="1:26" ht="15" thickBot="1" x14ac:dyDescent="0.4">
      <c r="A11" s="64"/>
      <c r="C11" s="3" t="s">
        <v>13</v>
      </c>
      <c r="D11" s="35">
        <f>SUM(D4:D10)</f>
        <v>0</v>
      </c>
      <c r="E11" s="36">
        <f t="shared" ref="E11:P11" si="1">SUM(E4:E10)</f>
        <v>0</v>
      </c>
      <c r="F11" s="36">
        <f t="shared" si="1"/>
        <v>0</v>
      </c>
      <c r="G11" s="36">
        <f t="shared" si="1"/>
        <v>0</v>
      </c>
      <c r="H11" s="37">
        <f t="shared" si="1"/>
        <v>0</v>
      </c>
      <c r="I11" s="37">
        <f t="shared" si="1"/>
        <v>0</v>
      </c>
      <c r="J11" s="38">
        <f t="shared" si="1"/>
        <v>0</v>
      </c>
      <c r="K11" s="38">
        <f t="shared" si="1"/>
        <v>0</v>
      </c>
      <c r="L11" s="38">
        <f t="shared" si="1"/>
        <v>0</v>
      </c>
      <c r="M11" s="38">
        <f t="shared" si="1"/>
        <v>0</v>
      </c>
      <c r="N11" s="38">
        <f t="shared" si="1"/>
        <v>0</v>
      </c>
      <c r="O11" s="38">
        <f t="shared" si="1"/>
        <v>0</v>
      </c>
      <c r="P11" s="23">
        <f t="shared" si="1"/>
        <v>0</v>
      </c>
      <c r="Q11" s="23">
        <f>SUM(Q4:Q10)</f>
        <v>0</v>
      </c>
      <c r="R11" s="24" t="s">
        <v>56</v>
      </c>
      <c r="S11" s="2" t="s">
        <v>21</v>
      </c>
      <c r="U11" s="69"/>
      <c r="V11" s="49" t="s">
        <v>13</v>
      </c>
      <c r="W11" s="9">
        <f>SUM(W4:W10)</f>
        <v>0</v>
      </c>
    </row>
    <row r="12" spans="1:26" ht="15" thickBot="1" x14ac:dyDescent="0.4">
      <c r="A12" s="29"/>
      <c r="C12" s="3"/>
      <c r="D12" s="70">
        <f>SUM(D11:G11)</f>
        <v>0</v>
      </c>
      <c r="E12" s="71"/>
      <c r="F12" s="71"/>
      <c r="G12" s="71"/>
      <c r="H12" s="72">
        <f>SUM(H11:I11)</f>
        <v>0</v>
      </c>
      <c r="I12" s="72"/>
      <c r="J12" s="73">
        <f>SUM(J11:O11)</f>
        <v>0</v>
      </c>
      <c r="K12" s="73"/>
      <c r="L12" s="73"/>
      <c r="M12" s="73"/>
      <c r="N12" s="73"/>
      <c r="O12" s="73"/>
      <c r="P12" s="62">
        <f>SUM(P11:Q11)</f>
        <v>0</v>
      </c>
      <c r="Q12" s="63"/>
      <c r="R12" s="9">
        <f t="shared" ref="R12:R19" si="2">SUM(D12:Q12)</f>
        <v>0</v>
      </c>
      <c r="S12" s="9">
        <f>$S$3-R12</f>
        <v>0</v>
      </c>
      <c r="U12" s="1"/>
      <c r="V12" s="1"/>
    </row>
    <row r="13" spans="1:26" x14ac:dyDescent="0.35">
      <c r="A13" s="29"/>
      <c r="B13" s="8">
        <v>44319</v>
      </c>
      <c r="C13" s="3" t="s">
        <v>1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0"/>
      <c r="Q13" s="21"/>
      <c r="R13" s="33">
        <f t="shared" si="2"/>
        <v>0</v>
      </c>
      <c r="U13" s="67" t="s">
        <v>19</v>
      </c>
      <c r="V13" s="26" t="s">
        <v>20</v>
      </c>
      <c r="W13" s="10"/>
    </row>
    <row r="14" spans="1:26" x14ac:dyDescent="0.35">
      <c r="A14" s="64" t="s">
        <v>14</v>
      </c>
      <c r="B14" s="8">
        <v>44320</v>
      </c>
      <c r="C14" s="3" t="s">
        <v>2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>
        <f t="shared" si="2"/>
        <v>0</v>
      </c>
      <c r="U14" s="68"/>
      <c r="V14" s="31" t="s">
        <v>35</v>
      </c>
      <c r="W14" s="11"/>
    </row>
    <row r="15" spans="1:26" x14ac:dyDescent="0.35">
      <c r="A15" s="64"/>
      <c r="B15" s="8">
        <v>44321</v>
      </c>
      <c r="C15" s="3" t="s">
        <v>3</v>
      </c>
      <c r="D15" s="20"/>
      <c r="E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>
        <f t="shared" si="2"/>
        <v>0</v>
      </c>
      <c r="U15" s="68"/>
      <c r="V15" s="31" t="s">
        <v>37</v>
      </c>
      <c r="W15" s="11"/>
    </row>
    <row r="16" spans="1:26" ht="15.75" customHeight="1" x14ac:dyDescent="0.35">
      <c r="A16" s="64"/>
      <c r="B16" s="8">
        <v>44322</v>
      </c>
      <c r="C16" s="3" t="s">
        <v>4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>
        <f t="shared" si="2"/>
        <v>0</v>
      </c>
      <c r="U16" s="68"/>
      <c r="V16" s="31" t="s">
        <v>38</v>
      </c>
      <c r="W16" s="11"/>
    </row>
    <row r="17" spans="1:27" x14ac:dyDescent="0.35">
      <c r="A17" s="64"/>
      <c r="B17" s="8">
        <v>44323</v>
      </c>
      <c r="C17" s="3" t="s">
        <v>5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>
        <f t="shared" si="2"/>
        <v>0</v>
      </c>
      <c r="U17" s="68"/>
      <c r="V17" s="31" t="s">
        <v>36</v>
      </c>
      <c r="W17" s="11"/>
    </row>
    <row r="18" spans="1:27" x14ac:dyDescent="0.35">
      <c r="A18" s="64"/>
      <c r="B18" s="8">
        <v>44324</v>
      </c>
      <c r="C18" s="3" t="s">
        <v>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>
        <f t="shared" si="2"/>
        <v>0</v>
      </c>
      <c r="U18" s="68"/>
      <c r="V18" s="31"/>
      <c r="W18" s="11"/>
      <c r="X18" s="13"/>
    </row>
    <row r="19" spans="1:27" ht="15.75" customHeight="1" thickBot="1" x14ac:dyDescent="0.4">
      <c r="A19" s="64"/>
      <c r="B19" s="8">
        <v>44325</v>
      </c>
      <c r="C19" s="3" t="s">
        <v>7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34">
        <f t="shared" si="2"/>
        <v>0</v>
      </c>
      <c r="U19" s="68"/>
      <c r="V19" s="45"/>
      <c r="W19" s="11"/>
      <c r="X19" s="13"/>
    </row>
    <row r="20" spans="1:27" ht="15" thickBot="1" x14ac:dyDescent="0.4">
      <c r="A20" s="64"/>
      <c r="C20" s="3" t="s">
        <v>13</v>
      </c>
      <c r="D20" s="14">
        <f t="shared" ref="D20:Q20" si="3">SUM(D13:D19)</f>
        <v>0</v>
      </c>
      <c r="E20" s="14">
        <f t="shared" si="3"/>
        <v>0</v>
      </c>
      <c r="F20" s="14">
        <f t="shared" si="3"/>
        <v>0</v>
      </c>
      <c r="G20" s="14">
        <f t="shared" si="3"/>
        <v>0</v>
      </c>
      <c r="H20" s="15">
        <f t="shared" si="3"/>
        <v>0</v>
      </c>
      <c r="I20" s="15">
        <f t="shared" si="3"/>
        <v>0</v>
      </c>
      <c r="J20" s="16">
        <f t="shared" si="3"/>
        <v>0</v>
      </c>
      <c r="K20" s="16">
        <f t="shared" si="3"/>
        <v>0</v>
      </c>
      <c r="L20" s="16">
        <f t="shared" si="3"/>
        <v>0</v>
      </c>
      <c r="M20" s="16">
        <f t="shared" si="3"/>
        <v>0</v>
      </c>
      <c r="N20" s="16">
        <f t="shared" si="3"/>
        <v>0</v>
      </c>
      <c r="O20" s="16">
        <f t="shared" si="3"/>
        <v>0</v>
      </c>
      <c r="P20" s="25">
        <f t="shared" si="3"/>
        <v>0</v>
      </c>
      <c r="Q20" s="25">
        <f t="shared" si="3"/>
        <v>0</v>
      </c>
      <c r="R20" s="24" t="s">
        <v>56</v>
      </c>
      <c r="S20" s="2" t="s">
        <v>22</v>
      </c>
      <c r="U20" s="68"/>
      <c r="V20" s="45"/>
      <c r="W20" s="11"/>
    </row>
    <row r="21" spans="1:27" ht="15" thickBot="1" x14ac:dyDescent="0.4">
      <c r="A21" s="29"/>
      <c r="C21" s="3"/>
      <c r="D21" s="71">
        <f>SUM(D20:G20)</f>
        <v>0</v>
      </c>
      <c r="E21" s="71"/>
      <c r="F21" s="71"/>
      <c r="G21" s="71"/>
      <c r="H21" s="72">
        <f>SUM(H20:I20)</f>
        <v>0</v>
      </c>
      <c r="I21" s="72"/>
      <c r="J21" s="73">
        <f>SUM(J20:O20)</f>
        <v>0</v>
      </c>
      <c r="K21" s="73"/>
      <c r="L21" s="73"/>
      <c r="M21" s="73"/>
      <c r="N21" s="73"/>
      <c r="O21" s="73"/>
      <c r="P21" s="62">
        <f>SUM(P20:Q20)</f>
        <v>0</v>
      </c>
      <c r="Q21" s="63"/>
      <c r="R21" s="9">
        <f t="shared" ref="R21:R28" si="4">SUM(D21:Q21)</f>
        <v>0</v>
      </c>
      <c r="S21" s="9">
        <f>S12-R21</f>
        <v>0</v>
      </c>
      <c r="U21" s="69"/>
      <c r="V21" s="46"/>
      <c r="W21" s="47"/>
      <c r="X21" s="13"/>
    </row>
    <row r="22" spans="1:27" ht="15" thickBot="1" x14ac:dyDescent="0.4">
      <c r="A22" s="29"/>
      <c r="B22" s="8">
        <v>44326</v>
      </c>
      <c r="C22" s="3" t="s">
        <v>1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0"/>
      <c r="Q22" s="21"/>
      <c r="R22" s="33">
        <f t="shared" si="4"/>
        <v>0</v>
      </c>
      <c r="Z22" t="s">
        <v>44</v>
      </c>
      <c r="AA22">
        <f>D59</f>
        <v>0</v>
      </c>
    </row>
    <row r="23" spans="1:27" ht="15" thickBot="1" x14ac:dyDescent="0.4">
      <c r="A23" s="64" t="s">
        <v>15</v>
      </c>
      <c r="B23" s="8">
        <v>44327</v>
      </c>
      <c r="C23" s="3" t="s">
        <v>2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>
        <f t="shared" si="4"/>
        <v>0</v>
      </c>
      <c r="U23" s="12" t="s">
        <v>17</v>
      </c>
      <c r="V23" s="65">
        <f t="shared" ref="V23" si="5">W11-SUM(W13:W21)</f>
        <v>0</v>
      </c>
      <c r="W23" s="66"/>
      <c r="Z23" t="s">
        <v>45</v>
      </c>
      <c r="AA23">
        <f>H59</f>
        <v>0</v>
      </c>
    </row>
    <row r="24" spans="1:27" x14ac:dyDescent="0.35">
      <c r="A24" s="64"/>
      <c r="B24" s="8">
        <v>44328</v>
      </c>
      <c r="C24" s="3" t="s">
        <v>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>
        <f t="shared" si="4"/>
        <v>0</v>
      </c>
      <c r="Z24" t="s">
        <v>48</v>
      </c>
      <c r="AA24">
        <f>J59</f>
        <v>0</v>
      </c>
    </row>
    <row r="25" spans="1:27" x14ac:dyDescent="0.35">
      <c r="A25" s="64"/>
      <c r="B25" s="8">
        <v>44329</v>
      </c>
      <c r="C25" s="3" t="s">
        <v>4</v>
      </c>
      <c r="D25" s="20"/>
      <c r="E25" s="20"/>
      <c r="F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>
        <f t="shared" si="4"/>
        <v>0</v>
      </c>
      <c r="U25">
        <f>S3-S48</f>
        <v>0</v>
      </c>
      <c r="Z25" t="s">
        <v>53</v>
      </c>
      <c r="AA25">
        <f>P59</f>
        <v>0</v>
      </c>
    </row>
    <row r="26" spans="1:27" x14ac:dyDescent="0.35">
      <c r="A26" s="64"/>
      <c r="B26" s="8">
        <v>44330</v>
      </c>
      <c r="C26" s="3" t="s">
        <v>5</v>
      </c>
      <c r="D26" s="20"/>
      <c r="E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>
        <f t="shared" si="4"/>
        <v>0</v>
      </c>
      <c r="Z26" t="s">
        <v>83</v>
      </c>
      <c r="AA26">
        <f>W13</f>
        <v>0</v>
      </c>
    </row>
    <row r="27" spans="1:27" x14ac:dyDescent="0.35">
      <c r="A27" s="64"/>
      <c r="B27" s="8">
        <v>44331</v>
      </c>
      <c r="C27" s="3" t="s">
        <v>6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>
        <f t="shared" si="4"/>
        <v>0</v>
      </c>
      <c r="Z27" t="s">
        <v>84</v>
      </c>
      <c r="AA27">
        <f>SUM(W14:W17)</f>
        <v>0</v>
      </c>
    </row>
    <row r="28" spans="1:27" ht="15" customHeight="1" thickBot="1" x14ac:dyDescent="0.4">
      <c r="A28" s="64"/>
      <c r="B28" s="8">
        <v>44332</v>
      </c>
      <c r="C28" s="3" t="s">
        <v>7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34">
        <f t="shared" si="4"/>
        <v>0</v>
      </c>
    </row>
    <row r="29" spans="1:27" ht="15" thickBot="1" x14ac:dyDescent="0.4">
      <c r="A29" s="64"/>
      <c r="C29" s="3" t="s">
        <v>13</v>
      </c>
      <c r="D29" s="14">
        <f t="shared" ref="D29:Q29" si="6">SUM(D22:D28)</f>
        <v>0</v>
      </c>
      <c r="E29" s="14">
        <f>SUM(E22:E28)</f>
        <v>0</v>
      </c>
      <c r="F29" s="14">
        <f t="shared" si="6"/>
        <v>0</v>
      </c>
      <c r="G29" s="14">
        <f t="shared" si="6"/>
        <v>0</v>
      </c>
      <c r="H29" s="15">
        <f t="shared" si="6"/>
        <v>0</v>
      </c>
      <c r="I29" s="15">
        <f t="shared" si="6"/>
        <v>0</v>
      </c>
      <c r="J29" s="16">
        <f t="shared" si="6"/>
        <v>0</v>
      </c>
      <c r="K29" s="16">
        <f t="shared" si="6"/>
        <v>0</v>
      </c>
      <c r="L29" s="16">
        <f t="shared" si="6"/>
        <v>0</v>
      </c>
      <c r="M29" s="16">
        <f t="shared" si="6"/>
        <v>0</v>
      </c>
      <c r="N29" s="16">
        <f t="shared" si="6"/>
        <v>0</v>
      </c>
      <c r="O29" s="16">
        <f t="shared" si="6"/>
        <v>0</v>
      </c>
      <c r="P29" s="23">
        <f t="shared" si="6"/>
        <v>0</v>
      </c>
      <c r="Q29" s="23">
        <f t="shared" si="6"/>
        <v>0</v>
      </c>
      <c r="R29" s="24" t="s">
        <v>56</v>
      </c>
      <c r="S29" s="2" t="s">
        <v>23</v>
      </c>
    </row>
    <row r="30" spans="1:27" ht="15" thickBot="1" x14ac:dyDescent="0.4">
      <c r="A30" s="29"/>
      <c r="C30" s="3"/>
      <c r="D30" s="54">
        <f>SUM(D29:G29)</f>
        <v>0</v>
      </c>
      <c r="E30" s="55"/>
      <c r="F30" s="55"/>
      <c r="G30" s="56"/>
      <c r="H30" s="57">
        <f>SUM(H29:I29)</f>
        <v>0</v>
      </c>
      <c r="I30" s="58"/>
      <c r="J30" s="59">
        <f>SUM(J29:O29)</f>
        <v>0</v>
      </c>
      <c r="K30" s="60"/>
      <c r="L30" s="60"/>
      <c r="M30" s="60"/>
      <c r="N30" s="60"/>
      <c r="O30" s="61"/>
      <c r="P30" s="62">
        <f>SUM(P29:Q29)</f>
        <v>0</v>
      </c>
      <c r="Q30" s="63"/>
      <c r="R30" s="9">
        <f t="shared" ref="R30:R37" si="7">SUM(D30:Q30)</f>
        <v>0</v>
      </c>
      <c r="S30" s="9">
        <f>S21-R30</f>
        <v>0</v>
      </c>
    </row>
    <row r="31" spans="1:27" x14ac:dyDescent="0.35">
      <c r="A31" s="29"/>
      <c r="B31" s="8">
        <v>44333</v>
      </c>
      <c r="C31" s="3" t="s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0"/>
      <c r="Q31" s="21"/>
      <c r="R31" s="33">
        <f t="shared" si="7"/>
        <v>0</v>
      </c>
    </row>
    <row r="32" spans="1:27" x14ac:dyDescent="0.35">
      <c r="A32" s="64" t="s">
        <v>16</v>
      </c>
      <c r="B32" s="8">
        <v>44334</v>
      </c>
      <c r="C32" s="3" t="s">
        <v>2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>
        <f t="shared" si="7"/>
        <v>0</v>
      </c>
    </row>
    <row r="33" spans="1:19" x14ac:dyDescent="0.35">
      <c r="A33" s="64"/>
      <c r="B33" s="8">
        <v>44335</v>
      </c>
      <c r="C33" s="3" t="s">
        <v>3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>
        <f t="shared" si="7"/>
        <v>0</v>
      </c>
    </row>
    <row r="34" spans="1:19" x14ac:dyDescent="0.35">
      <c r="A34" s="64"/>
      <c r="B34" s="8">
        <v>44336</v>
      </c>
      <c r="C34" s="3" t="s">
        <v>4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>
        <f t="shared" si="7"/>
        <v>0</v>
      </c>
    </row>
    <row r="35" spans="1:19" x14ac:dyDescent="0.35">
      <c r="A35" s="64"/>
      <c r="B35" s="8">
        <v>44337</v>
      </c>
      <c r="C35" s="3" t="s">
        <v>5</v>
      </c>
      <c r="D35" s="20"/>
      <c r="F35" s="20"/>
      <c r="G35" s="20"/>
      <c r="H35" s="20"/>
      <c r="J35" s="20"/>
      <c r="K35" s="20"/>
      <c r="L35" s="20"/>
      <c r="N35" s="20"/>
      <c r="O35" s="20"/>
      <c r="P35" s="20"/>
      <c r="Q35" s="20"/>
      <c r="R35" s="20">
        <f t="shared" si="7"/>
        <v>0</v>
      </c>
    </row>
    <row r="36" spans="1:19" x14ac:dyDescent="0.35">
      <c r="A36" s="64"/>
      <c r="B36" s="8">
        <v>44338</v>
      </c>
      <c r="C36" s="3" t="s">
        <v>6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>
        <f t="shared" si="7"/>
        <v>0</v>
      </c>
    </row>
    <row r="37" spans="1:19" ht="15" customHeight="1" thickBot="1" x14ac:dyDescent="0.4">
      <c r="A37" s="64"/>
      <c r="B37" s="8">
        <v>44339</v>
      </c>
      <c r="C37" s="3" t="s">
        <v>7</v>
      </c>
      <c r="D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34">
        <f t="shared" si="7"/>
        <v>0</v>
      </c>
    </row>
    <row r="38" spans="1:19" ht="15" thickBot="1" x14ac:dyDescent="0.4">
      <c r="A38" s="64"/>
      <c r="C38" s="3" t="s">
        <v>13</v>
      </c>
      <c r="D38" s="14">
        <f>SUM(D31:D37)</f>
        <v>0</v>
      </c>
      <c r="E38" s="14">
        <f t="shared" ref="E38:Q38" si="8">SUM(E31:E37)</f>
        <v>0</v>
      </c>
      <c r="F38" s="14">
        <f t="shared" si="8"/>
        <v>0</v>
      </c>
      <c r="G38" s="14">
        <f t="shared" si="8"/>
        <v>0</v>
      </c>
      <c r="H38" s="15">
        <f t="shared" si="8"/>
        <v>0</v>
      </c>
      <c r="I38" s="15">
        <f t="shared" si="8"/>
        <v>0</v>
      </c>
      <c r="J38" s="16">
        <f t="shared" si="8"/>
        <v>0</v>
      </c>
      <c r="K38" s="16">
        <f t="shared" si="8"/>
        <v>0</v>
      </c>
      <c r="L38" s="16">
        <f t="shared" si="8"/>
        <v>0</v>
      </c>
      <c r="M38" s="16">
        <f t="shared" si="8"/>
        <v>0</v>
      </c>
      <c r="N38" s="16">
        <f t="shared" si="8"/>
        <v>0</v>
      </c>
      <c r="O38" s="16">
        <f t="shared" si="8"/>
        <v>0</v>
      </c>
      <c r="P38" s="25">
        <f t="shared" si="8"/>
        <v>0</v>
      </c>
      <c r="Q38" s="25">
        <f t="shared" si="8"/>
        <v>0</v>
      </c>
      <c r="R38" s="24" t="s">
        <v>56</v>
      </c>
      <c r="S38" s="2" t="s">
        <v>24</v>
      </c>
    </row>
    <row r="39" spans="1:19" ht="15" thickBot="1" x14ac:dyDescent="0.4">
      <c r="A39" s="29"/>
      <c r="C39" s="3"/>
      <c r="D39" s="54">
        <f t="shared" ref="D39" si="9">SUM(D38:G38)</f>
        <v>0</v>
      </c>
      <c r="E39" s="55"/>
      <c r="F39" s="55"/>
      <c r="G39" s="56"/>
      <c r="H39" s="57">
        <f>SUM(H38:I38)</f>
        <v>0</v>
      </c>
      <c r="I39" s="58"/>
      <c r="J39" s="59">
        <f>SUM(J38:O38)</f>
        <v>0</v>
      </c>
      <c r="K39" s="60"/>
      <c r="L39" s="60"/>
      <c r="M39" s="60"/>
      <c r="N39" s="60"/>
      <c r="O39" s="61"/>
      <c r="P39" s="62">
        <f>SUM(P38:Q38)</f>
        <v>0</v>
      </c>
      <c r="Q39" s="63"/>
      <c r="R39" s="9">
        <f t="shared" ref="R39:R46" si="10">SUM(D39:Q39)</f>
        <v>0</v>
      </c>
      <c r="S39" s="9">
        <f>S30-R39</f>
        <v>0</v>
      </c>
    </row>
    <row r="40" spans="1:19" x14ac:dyDescent="0.35">
      <c r="A40" s="29"/>
      <c r="B40" s="8">
        <v>44340</v>
      </c>
      <c r="C40" s="3" t="s">
        <v>1</v>
      </c>
      <c r="D40" s="27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33">
        <f t="shared" si="10"/>
        <v>0</v>
      </c>
    </row>
    <row r="41" spans="1:19" ht="15" customHeight="1" x14ac:dyDescent="0.35">
      <c r="A41" s="64" t="s">
        <v>29</v>
      </c>
      <c r="B41" s="8">
        <v>44341</v>
      </c>
      <c r="C41" s="3" t="s">
        <v>2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>
        <f t="shared" si="10"/>
        <v>0</v>
      </c>
    </row>
    <row r="42" spans="1:19" x14ac:dyDescent="0.35">
      <c r="A42" s="64"/>
      <c r="B42" s="8">
        <v>44342</v>
      </c>
      <c r="C42" s="3" t="s">
        <v>3</v>
      </c>
      <c r="D42" s="28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>
        <f t="shared" si="10"/>
        <v>0</v>
      </c>
    </row>
    <row r="43" spans="1:19" x14ac:dyDescent="0.35">
      <c r="A43" s="64"/>
      <c r="B43" s="8">
        <v>44343</v>
      </c>
      <c r="C43" s="3" t="s">
        <v>4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>
        <f t="shared" si="10"/>
        <v>0</v>
      </c>
    </row>
    <row r="44" spans="1:19" ht="16.5" customHeight="1" x14ac:dyDescent="0.35">
      <c r="A44" s="64"/>
      <c r="B44" s="8">
        <v>44344</v>
      </c>
      <c r="C44" s="3" t="s">
        <v>5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>
        <f t="shared" si="10"/>
        <v>0</v>
      </c>
    </row>
    <row r="45" spans="1:19" x14ac:dyDescent="0.35">
      <c r="A45" s="64"/>
      <c r="B45" s="8">
        <v>44345</v>
      </c>
      <c r="C45" s="3" t="s">
        <v>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>
        <f t="shared" si="10"/>
        <v>0</v>
      </c>
    </row>
    <row r="46" spans="1:19" ht="15" thickBot="1" x14ac:dyDescent="0.4">
      <c r="A46" s="50"/>
      <c r="B46" s="8">
        <v>44346</v>
      </c>
      <c r="C46" s="3" t="s">
        <v>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34">
        <f t="shared" si="10"/>
        <v>0</v>
      </c>
    </row>
    <row r="47" spans="1:19" ht="15" thickBot="1" x14ac:dyDescent="0.4">
      <c r="A47" s="50"/>
      <c r="C47" s="3" t="s">
        <v>13</v>
      </c>
      <c r="D47" s="14">
        <f t="shared" ref="D47:Q47" si="11">SUM(D40:D46)</f>
        <v>0</v>
      </c>
      <c r="E47" s="14">
        <f t="shared" si="11"/>
        <v>0</v>
      </c>
      <c r="F47" s="14">
        <f t="shared" si="11"/>
        <v>0</v>
      </c>
      <c r="G47" s="14">
        <f t="shared" si="11"/>
        <v>0</v>
      </c>
      <c r="H47" s="15">
        <f t="shared" si="11"/>
        <v>0</v>
      </c>
      <c r="I47" s="15">
        <f t="shared" si="11"/>
        <v>0</v>
      </c>
      <c r="J47" s="16">
        <f t="shared" si="11"/>
        <v>0</v>
      </c>
      <c r="K47" s="16">
        <f t="shared" si="11"/>
        <v>0</v>
      </c>
      <c r="L47" s="16">
        <f t="shared" si="11"/>
        <v>0</v>
      </c>
      <c r="M47" s="16">
        <f t="shared" si="11"/>
        <v>0</v>
      </c>
      <c r="N47" s="16">
        <f t="shared" si="11"/>
        <v>0</v>
      </c>
      <c r="O47" s="16">
        <f t="shared" si="11"/>
        <v>0</v>
      </c>
      <c r="P47" s="17">
        <f t="shared" si="11"/>
        <v>0</v>
      </c>
      <c r="Q47" s="17">
        <f t="shared" si="11"/>
        <v>0</v>
      </c>
      <c r="R47" s="24" t="s">
        <v>56</v>
      </c>
      <c r="S47" s="2" t="s">
        <v>28</v>
      </c>
    </row>
    <row r="48" spans="1:19" ht="15" thickBot="1" x14ac:dyDescent="0.4">
      <c r="C48" s="3"/>
      <c r="D48" s="54">
        <f>SUM(D47:G47)</f>
        <v>0</v>
      </c>
      <c r="E48" s="55"/>
      <c r="F48" s="55"/>
      <c r="G48" s="56"/>
      <c r="H48" s="57">
        <f>SUM(H47:I47)</f>
        <v>0</v>
      </c>
      <c r="I48" s="58"/>
      <c r="J48" s="59">
        <f>SUM(J47:O47)</f>
        <v>0</v>
      </c>
      <c r="K48" s="60"/>
      <c r="L48" s="60"/>
      <c r="M48" s="60"/>
      <c r="N48" s="60"/>
      <c r="O48" s="61"/>
      <c r="P48" s="62">
        <f>SUM(P47:Q47)</f>
        <v>0</v>
      </c>
      <c r="Q48" s="63"/>
      <c r="R48" s="9">
        <f t="shared" ref="R48:R55" si="12">SUM(D48:Q48)</f>
        <v>0</v>
      </c>
      <c r="S48" s="9">
        <f>S39-R48</f>
        <v>0</v>
      </c>
    </row>
    <row r="49" spans="1:19" ht="15.75" customHeight="1" x14ac:dyDescent="0.35">
      <c r="A49" s="64" t="s">
        <v>30</v>
      </c>
      <c r="B49" s="8">
        <v>44347</v>
      </c>
      <c r="C49" s="32" t="s">
        <v>1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33">
        <f t="shared" si="12"/>
        <v>0</v>
      </c>
    </row>
    <row r="50" spans="1:19" ht="15.75" customHeight="1" x14ac:dyDescent="0.35">
      <c r="A50" s="64"/>
      <c r="B50" s="8" t="s">
        <v>33</v>
      </c>
      <c r="C50" s="32" t="s">
        <v>2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>
        <f t="shared" si="12"/>
        <v>0</v>
      </c>
    </row>
    <row r="51" spans="1:19" ht="15.75" customHeight="1" x14ac:dyDescent="0.35">
      <c r="A51" s="64"/>
      <c r="B51" s="8" t="s">
        <v>33</v>
      </c>
      <c r="C51" s="32" t="s">
        <v>3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>
        <f t="shared" si="12"/>
        <v>0</v>
      </c>
    </row>
    <row r="52" spans="1:19" ht="15.75" customHeight="1" x14ac:dyDescent="0.35">
      <c r="A52" s="64"/>
      <c r="B52" s="8" t="s">
        <v>33</v>
      </c>
      <c r="C52" s="32" t="s">
        <v>4</v>
      </c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>
        <f t="shared" si="12"/>
        <v>0</v>
      </c>
    </row>
    <row r="53" spans="1:19" ht="15.75" customHeight="1" x14ac:dyDescent="0.35">
      <c r="A53" s="64"/>
      <c r="B53" s="8" t="s">
        <v>33</v>
      </c>
      <c r="C53" s="32" t="s">
        <v>5</v>
      </c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>
        <f t="shared" si="12"/>
        <v>0</v>
      </c>
    </row>
    <row r="54" spans="1:19" ht="15.75" customHeight="1" x14ac:dyDescent="0.35">
      <c r="A54" s="64"/>
      <c r="B54" s="8" t="s">
        <v>33</v>
      </c>
      <c r="C54" s="32" t="s">
        <v>6</v>
      </c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>
        <f t="shared" si="12"/>
        <v>0</v>
      </c>
    </row>
    <row r="55" spans="1:19" ht="15.75" customHeight="1" thickBot="1" x14ac:dyDescent="0.4">
      <c r="A55" s="64"/>
      <c r="B55" s="8" t="s">
        <v>33</v>
      </c>
      <c r="C55" s="32" t="s">
        <v>7</v>
      </c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0">
        <f t="shared" si="12"/>
        <v>0</v>
      </c>
    </row>
    <row r="56" spans="1:19" ht="15" thickBot="1" x14ac:dyDescent="0.4">
      <c r="A56" s="29"/>
      <c r="B56" s="8"/>
      <c r="C56" s="3" t="s">
        <v>13</v>
      </c>
      <c r="D56" s="39">
        <f t="shared" ref="D56:F56" si="13">SUM(D49:D55)</f>
        <v>0</v>
      </c>
      <c r="E56" s="39">
        <f t="shared" si="13"/>
        <v>0</v>
      </c>
      <c r="F56" s="39">
        <f t="shared" si="13"/>
        <v>0</v>
      </c>
      <c r="G56" s="39">
        <f>SUM(G49:G55)</f>
        <v>0</v>
      </c>
      <c r="H56" s="37">
        <f t="shared" ref="H56:Q56" si="14">SUM(H49:H55)</f>
        <v>0</v>
      </c>
      <c r="I56" s="37">
        <f t="shared" si="14"/>
        <v>0</v>
      </c>
      <c r="J56" s="38">
        <f t="shared" si="14"/>
        <v>0</v>
      </c>
      <c r="K56" s="38">
        <f t="shared" si="14"/>
        <v>0</v>
      </c>
      <c r="L56" s="38">
        <f t="shared" si="14"/>
        <v>0</v>
      </c>
      <c r="M56" s="38">
        <f t="shared" si="14"/>
        <v>0</v>
      </c>
      <c r="N56" s="38">
        <f t="shared" si="14"/>
        <v>0</v>
      </c>
      <c r="O56" s="38">
        <f t="shared" si="14"/>
        <v>0</v>
      </c>
      <c r="P56" s="40">
        <f t="shared" si="14"/>
        <v>0</v>
      </c>
      <c r="Q56" s="40">
        <f t="shared" si="14"/>
        <v>0</v>
      </c>
      <c r="R56" s="24" t="s">
        <v>56</v>
      </c>
      <c r="S56" s="2" t="s">
        <v>39</v>
      </c>
    </row>
    <row r="57" spans="1:19" ht="15" thickBot="1" x14ac:dyDescent="0.4">
      <c r="A57" s="29"/>
      <c r="C57" s="3"/>
      <c r="D57" s="54">
        <f>SUM(D56:G56)</f>
        <v>0</v>
      </c>
      <c r="E57" s="55"/>
      <c r="F57" s="55"/>
      <c r="G57" s="56"/>
      <c r="H57" s="57">
        <f>SUM(H56:I56)</f>
        <v>0</v>
      </c>
      <c r="I57" s="58"/>
      <c r="J57" s="59">
        <f>SUM(J56:O56)</f>
        <v>0</v>
      </c>
      <c r="K57" s="60"/>
      <c r="L57" s="60"/>
      <c r="M57" s="60"/>
      <c r="N57" s="60"/>
      <c r="O57" s="61"/>
      <c r="P57" s="62">
        <f>SUM(P56:Q56)</f>
        <v>0</v>
      </c>
      <c r="Q57" s="63"/>
      <c r="R57" s="9">
        <f>SUM(D57:Q57)</f>
        <v>0</v>
      </c>
      <c r="S57" s="9">
        <f>S48-R57</f>
        <v>0</v>
      </c>
    </row>
    <row r="58" spans="1:19" x14ac:dyDescent="0.35">
      <c r="A58" s="29"/>
    </row>
    <row r="59" spans="1:19" x14ac:dyDescent="0.35">
      <c r="A59" s="29"/>
      <c r="B59" t="s">
        <v>55</v>
      </c>
      <c r="D59" s="54">
        <f t="shared" ref="D59" si="15">D12+D21+D30+D39+D48+D57</f>
        <v>0</v>
      </c>
      <c r="E59" s="55"/>
      <c r="F59" s="55"/>
      <c r="G59" s="56"/>
      <c r="H59" s="57">
        <f t="shared" ref="H59" si="16">H12+H21+H30+H39+H48+H57</f>
        <v>0</v>
      </c>
      <c r="I59" s="58"/>
      <c r="J59" s="59">
        <f t="shared" ref="J59" si="17">J12+J21+J30+J39+J48+J57</f>
        <v>0</v>
      </c>
      <c r="K59" s="60"/>
      <c r="L59" s="60"/>
      <c r="M59" s="60"/>
      <c r="N59" s="60"/>
      <c r="O59" s="61"/>
      <c r="P59" s="62">
        <f t="shared" ref="P59" si="18">P12+P21+P30+P39+P48+P57</f>
        <v>0</v>
      </c>
      <c r="Q59" s="63"/>
      <c r="R59">
        <f>R12+R21+R30+R39+R48+R57</f>
        <v>0</v>
      </c>
    </row>
  </sheetData>
  <mergeCells count="42">
    <mergeCell ref="A1:P1"/>
    <mergeCell ref="D2:G2"/>
    <mergeCell ref="H2:I2"/>
    <mergeCell ref="J2:O2"/>
    <mergeCell ref="P2:Q2"/>
    <mergeCell ref="P21:Q21"/>
    <mergeCell ref="A23:A29"/>
    <mergeCell ref="U4:U11"/>
    <mergeCell ref="D12:G12"/>
    <mergeCell ref="H12:I12"/>
    <mergeCell ref="J12:O12"/>
    <mergeCell ref="P12:Q12"/>
    <mergeCell ref="U13:U21"/>
    <mergeCell ref="A4:A11"/>
    <mergeCell ref="A32:A38"/>
    <mergeCell ref="A14:A20"/>
    <mergeCell ref="D21:G21"/>
    <mergeCell ref="H21:I21"/>
    <mergeCell ref="J21:O21"/>
    <mergeCell ref="V23:W23"/>
    <mergeCell ref="D30:G30"/>
    <mergeCell ref="H30:I30"/>
    <mergeCell ref="J30:O30"/>
    <mergeCell ref="P30:Q30"/>
    <mergeCell ref="A41:A45"/>
    <mergeCell ref="D48:G48"/>
    <mergeCell ref="H48:I48"/>
    <mergeCell ref="J48:O48"/>
    <mergeCell ref="P48:Q48"/>
    <mergeCell ref="D59:G59"/>
    <mergeCell ref="H59:I59"/>
    <mergeCell ref="J59:O59"/>
    <mergeCell ref="P59:Q59"/>
    <mergeCell ref="D39:G39"/>
    <mergeCell ref="H39:I39"/>
    <mergeCell ref="J39:O39"/>
    <mergeCell ref="P39:Q39"/>
    <mergeCell ref="A49:A55"/>
    <mergeCell ref="D57:G57"/>
    <mergeCell ref="H57:I57"/>
    <mergeCell ref="J57:O57"/>
    <mergeCell ref="P57:Q57"/>
  </mergeCells>
  <conditionalFormatting sqref="Z6">
    <cfRule type="cellIs" dxfId="31" priority="1" operator="lessThan">
      <formula>-200</formula>
    </cfRule>
    <cfRule type="cellIs" dxfId="30" priority="2" operator="between">
      <formula>-200</formula>
      <formula>0</formula>
    </cfRule>
    <cfRule type="cellIs" dxfId="29" priority="3" operator="between">
      <formula>0</formula>
      <formula>200</formula>
    </cfRule>
    <cfRule type="cellIs" dxfId="28" priority="4" operator="greaterThan">
      <formula>200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1CD42-F5D0-4CF5-94F5-B5E842C4AC73}">
  <sheetPr codeName="Foglio6"/>
  <dimension ref="A1:AA59"/>
  <sheetViews>
    <sheetView zoomScale="55" zoomScaleNormal="55" workbookViewId="0">
      <pane xSplit="3" ySplit="3" topLeftCell="S4" activePane="bottomRight" state="frozen"/>
      <selection pane="topRight" activeCell="D1" sqref="D1"/>
      <selection pane="bottomLeft" activeCell="A4" sqref="A4"/>
      <selection pane="bottomRight" activeCell="O25" sqref="H25:O25"/>
    </sheetView>
  </sheetViews>
  <sheetFormatPr defaultRowHeight="14.5" x14ac:dyDescent="0.35"/>
  <cols>
    <col min="1" max="1" width="3.7265625" bestFit="1" customWidth="1"/>
    <col min="2" max="2" width="12.453125" bestFit="1" customWidth="1"/>
    <col min="3" max="3" width="7.54296875" bestFit="1" customWidth="1"/>
    <col min="4" max="4" width="11" bestFit="1" customWidth="1"/>
    <col min="5" max="5" width="13.6328125" bestFit="1" customWidth="1"/>
    <col min="6" max="6" width="13.26953125" bestFit="1" customWidth="1"/>
    <col min="10" max="10" width="8.1796875" bestFit="1" customWidth="1"/>
    <col min="11" max="11" width="10" bestFit="1" customWidth="1"/>
    <col min="12" max="12" width="9.54296875" customWidth="1"/>
    <col min="14" max="14" width="9.453125" customWidth="1"/>
    <col min="18" max="18" width="17.90625" bestFit="1" customWidth="1"/>
    <col min="19" max="19" width="14.26953125" bestFit="1" customWidth="1"/>
    <col min="21" max="21" width="19.26953125" bestFit="1" customWidth="1"/>
    <col min="22" max="22" width="16.54296875" bestFit="1" customWidth="1"/>
    <col min="25" max="25" width="27.36328125" bestFit="1" customWidth="1"/>
    <col min="26" max="26" width="13.81640625" bestFit="1" customWidth="1"/>
    <col min="28" max="28" width="21.453125" bestFit="1" customWidth="1"/>
  </cols>
  <sheetData>
    <row r="1" spans="1:26" ht="26" x14ac:dyDescent="0.6">
      <c r="A1" s="74" t="str" cm="1">
        <f t="array" aca="1" ref="A1" ca="1">MID(CELL("nomefile",A1),FIND("]",CELL("nomefile",A1))+1,255)</f>
        <v>Giugno 2021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51"/>
    </row>
    <row r="2" spans="1:26" ht="15" customHeight="1" x14ac:dyDescent="0.35">
      <c r="D2" s="76" t="s">
        <v>44</v>
      </c>
      <c r="E2" s="76"/>
      <c r="F2" s="76"/>
      <c r="G2" s="76"/>
      <c r="H2" s="77" t="s">
        <v>45</v>
      </c>
      <c r="I2" s="77"/>
      <c r="J2" s="78" t="s">
        <v>48</v>
      </c>
      <c r="K2" s="78"/>
      <c r="L2" s="78"/>
      <c r="M2" s="78"/>
      <c r="N2" s="78"/>
      <c r="O2" s="78"/>
      <c r="P2" s="79" t="s">
        <v>8</v>
      </c>
      <c r="Q2" s="80"/>
      <c r="S2" s="1" t="s">
        <v>17</v>
      </c>
    </row>
    <row r="3" spans="1:26" ht="29.5" thickBot="1" x14ac:dyDescent="0.4">
      <c r="D3" s="19" t="s">
        <v>49</v>
      </c>
      <c r="E3" s="4" t="s">
        <v>54</v>
      </c>
      <c r="F3" s="19" t="s">
        <v>52</v>
      </c>
      <c r="G3" s="4" t="s">
        <v>0</v>
      </c>
      <c r="H3" s="5" t="s">
        <v>46</v>
      </c>
      <c r="I3" s="5" t="s">
        <v>47</v>
      </c>
      <c r="J3" s="6" t="s">
        <v>50</v>
      </c>
      <c r="K3" s="6" t="s">
        <v>11</v>
      </c>
      <c r="L3" s="6" t="s">
        <v>51</v>
      </c>
      <c r="M3" s="6" t="s">
        <v>12</v>
      </c>
      <c r="N3" s="6" t="s">
        <v>10</v>
      </c>
      <c r="O3" s="6" t="s">
        <v>0</v>
      </c>
      <c r="P3" s="7"/>
      <c r="Q3" s="7" t="s">
        <v>26</v>
      </c>
      <c r="R3" s="52" t="s">
        <v>25</v>
      </c>
      <c r="S3" s="2">
        <f>V23</f>
        <v>0</v>
      </c>
    </row>
    <row r="4" spans="1:26" ht="15" customHeight="1" x14ac:dyDescent="0.45">
      <c r="A4" s="64" t="s">
        <v>9</v>
      </c>
      <c r="B4" s="8" t="s">
        <v>33</v>
      </c>
      <c r="C4" s="3" t="s">
        <v>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21"/>
      <c r="R4" s="20">
        <f t="shared" ref="R4:R10" si="0">SUM(D4:Q4)</f>
        <v>0</v>
      </c>
      <c r="U4" s="67" t="s">
        <v>18</v>
      </c>
      <c r="V4" s="26" t="s">
        <v>27</v>
      </c>
      <c r="W4" s="10"/>
      <c r="Y4" s="48" t="s">
        <v>40</v>
      </c>
      <c r="Z4" s="48">
        <f>SUM(W13:W21)+R12+R21+R30+R39+R48+R57</f>
        <v>0</v>
      </c>
    </row>
    <row r="5" spans="1:26" ht="15" customHeight="1" x14ac:dyDescent="0.35">
      <c r="A5" s="64"/>
      <c r="B5" s="8">
        <v>44348</v>
      </c>
      <c r="C5" s="3" t="s">
        <v>2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20"/>
      <c r="R5" s="20">
        <f t="shared" si="0"/>
        <v>0</v>
      </c>
      <c r="U5" s="68"/>
      <c r="V5" s="31"/>
      <c r="W5" s="11"/>
    </row>
    <row r="6" spans="1:26" ht="15" customHeight="1" x14ac:dyDescent="0.45">
      <c r="A6" s="64"/>
      <c r="B6" s="8">
        <v>44349</v>
      </c>
      <c r="C6" s="3" t="s">
        <v>3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20">
        <f t="shared" si="0"/>
        <v>0</v>
      </c>
      <c r="U6" s="68"/>
      <c r="V6" s="31"/>
      <c r="W6" s="11"/>
      <c r="Y6" s="48" t="s">
        <v>42</v>
      </c>
      <c r="Z6" s="48">
        <f>W11-Z4</f>
        <v>0</v>
      </c>
    </row>
    <row r="7" spans="1:26" ht="15" customHeight="1" x14ac:dyDescent="0.35">
      <c r="A7" s="64"/>
      <c r="B7" s="8">
        <v>44350</v>
      </c>
      <c r="C7" s="3" t="s">
        <v>4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20"/>
      <c r="R7" s="20">
        <f t="shared" si="0"/>
        <v>0</v>
      </c>
      <c r="U7" s="68"/>
      <c r="V7" s="31"/>
      <c r="W7" s="11"/>
    </row>
    <row r="8" spans="1:26" ht="15" customHeight="1" x14ac:dyDescent="0.35">
      <c r="A8" s="64"/>
      <c r="B8" s="8">
        <v>44351</v>
      </c>
      <c r="C8" s="3" t="s">
        <v>5</v>
      </c>
      <c r="D8" s="18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>
        <f t="shared" si="0"/>
        <v>0</v>
      </c>
      <c r="U8" s="68"/>
      <c r="V8" s="31"/>
      <c r="W8" s="11"/>
    </row>
    <row r="9" spans="1:26" ht="15" customHeight="1" x14ac:dyDescent="0.35">
      <c r="A9" s="64"/>
      <c r="B9" s="8">
        <v>44352</v>
      </c>
      <c r="C9" s="3" t="s">
        <v>6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20"/>
      <c r="R9" s="20">
        <f t="shared" si="0"/>
        <v>0</v>
      </c>
      <c r="U9" s="68"/>
      <c r="V9" s="31"/>
      <c r="W9" s="11"/>
    </row>
    <row r="10" spans="1:26" ht="15" customHeight="1" thickBot="1" x14ac:dyDescent="0.4">
      <c r="A10" s="64"/>
      <c r="B10" s="8">
        <v>44353</v>
      </c>
      <c r="C10" s="3" t="s">
        <v>7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22"/>
      <c r="R10" s="20">
        <f t="shared" si="0"/>
        <v>0</v>
      </c>
      <c r="U10" s="68"/>
      <c r="V10" s="31"/>
      <c r="W10" s="11"/>
    </row>
    <row r="11" spans="1:26" ht="15" thickBot="1" x14ac:dyDescent="0.4">
      <c r="A11" s="64"/>
      <c r="C11" s="3" t="s">
        <v>13</v>
      </c>
      <c r="D11" s="35">
        <f>SUM(D4:D10)</f>
        <v>0</v>
      </c>
      <c r="E11" s="36">
        <f t="shared" ref="E11:P11" si="1">SUM(E4:E10)</f>
        <v>0</v>
      </c>
      <c r="F11" s="36">
        <f t="shared" si="1"/>
        <v>0</v>
      </c>
      <c r="G11" s="36">
        <f t="shared" si="1"/>
        <v>0</v>
      </c>
      <c r="H11" s="37">
        <f t="shared" si="1"/>
        <v>0</v>
      </c>
      <c r="I11" s="37">
        <f t="shared" si="1"/>
        <v>0</v>
      </c>
      <c r="J11" s="38">
        <f t="shared" si="1"/>
        <v>0</v>
      </c>
      <c r="K11" s="38">
        <f t="shared" si="1"/>
        <v>0</v>
      </c>
      <c r="L11" s="38">
        <f t="shared" si="1"/>
        <v>0</v>
      </c>
      <c r="M11" s="38">
        <f t="shared" si="1"/>
        <v>0</v>
      </c>
      <c r="N11" s="38">
        <f t="shared" si="1"/>
        <v>0</v>
      </c>
      <c r="O11" s="38">
        <f t="shared" si="1"/>
        <v>0</v>
      </c>
      <c r="P11" s="23">
        <f t="shared" si="1"/>
        <v>0</v>
      </c>
      <c r="Q11" s="23">
        <f>SUM(Q4:Q10)</f>
        <v>0</v>
      </c>
      <c r="R11" s="24" t="s">
        <v>56</v>
      </c>
      <c r="S11" s="2" t="s">
        <v>21</v>
      </c>
      <c r="U11" s="69"/>
      <c r="V11" s="49" t="s">
        <v>13</v>
      </c>
      <c r="W11" s="9">
        <f>SUM(W4:W10)</f>
        <v>0</v>
      </c>
    </row>
    <row r="12" spans="1:26" ht="15" thickBot="1" x14ac:dyDescent="0.4">
      <c r="A12" s="29"/>
      <c r="C12" s="3"/>
      <c r="D12" s="70">
        <f>SUM(D11:G11)</f>
        <v>0</v>
      </c>
      <c r="E12" s="71"/>
      <c r="F12" s="71"/>
      <c r="G12" s="71"/>
      <c r="H12" s="72">
        <f>SUM(H11:I11)</f>
        <v>0</v>
      </c>
      <c r="I12" s="72"/>
      <c r="J12" s="73">
        <f>SUM(J11:O11)</f>
        <v>0</v>
      </c>
      <c r="K12" s="73"/>
      <c r="L12" s="73"/>
      <c r="M12" s="73"/>
      <c r="N12" s="73"/>
      <c r="O12" s="73"/>
      <c r="P12" s="62">
        <f>SUM(P11:Q11)</f>
        <v>0</v>
      </c>
      <c r="Q12" s="63"/>
      <c r="R12" s="9">
        <f t="shared" ref="R12:R19" si="2">SUM(D12:Q12)</f>
        <v>0</v>
      </c>
      <c r="S12" s="9">
        <f>$S$3-R12</f>
        <v>0</v>
      </c>
      <c r="U12" s="1"/>
      <c r="V12" s="1"/>
    </row>
    <row r="13" spans="1:26" x14ac:dyDescent="0.35">
      <c r="A13" s="29"/>
      <c r="B13" s="8">
        <v>44354</v>
      </c>
      <c r="C13" s="3" t="s">
        <v>1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0"/>
      <c r="Q13" s="21"/>
      <c r="R13" s="33">
        <f t="shared" si="2"/>
        <v>0</v>
      </c>
      <c r="U13" s="67" t="s">
        <v>19</v>
      </c>
      <c r="V13" s="26" t="s">
        <v>20</v>
      </c>
      <c r="W13" s="10"/>
    </row>
    <row r="14" spans="1:26" x14ac:dyDescent="0.35">
      <c r="A14" s="64" t="s">
        <v>14</v>
      </c>
      <c r="B14" s="8">
        <v>44355</v>
      </c>
      <c r="C14" s="3" t="s">
        <v>2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>
        <f t="shared" si="2"/>
        <v>0</v>
      </c>
      <c r="U14" s="68"/>
      <c r="V14" s="31" t="s">
        <v>35</v>
      </c>
      <c r="W14" s="11"/>
    </row>
    <row r="15" spans="1:26" x14ac:dyDescent="0.35">
      <c r="A15" s="64"/>
      <c r="B15" s="8">
        <v>44356</v>
      </c>
      <c r="C15" s="3" t="s">
        <v>3</v>
      </c>
      <c r="D15" s="20"/>
      <c r="E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>
        <f t="shared" si="2"/>
        <v>0</v>
      </c>
      <c r="U15" s="68"/>
      <c r="V15" s="31" t="s">
        <v>37</v>
      </c>
      <c r="W15" s="11"/>
    </row>
    <row r="16" spans="1:26" ht="15.75" customHeight="1" x14ac:dyDescent="0.35">
      <c r="A16" s="64"/>
      <c r="B16" s="8">
        <v>44357</v>
      </c>
      <c r="C16" s="3" t="s">
        <v>4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>
        <f t="shared" si="2"/>
        <v>0</v>
      </c>
      <c r="U16" s="68"/>
      <c r="V16" s="31" t="s">
        <v>38</v>
      </c>
      <c r="W16" s="11"/>
    </row>
    <row r="17" spans="1:27" x14ac:dyDescent="0.35">
      <c r="A17" s="64"/>
      <c r="B17" s="8">
        <v>44358</v>
      </c>
      <c r="C17" s="3" t="s">
        <v>5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>
        <f t="shared" si="2"/>
        <v>0</v>
      </c>
      <c r="U17" s="68"/>
      <c r="V17" s="31" t="s">
        <v>36</v>
      </c>
      <c r="W17" s="11"/>
    </row>
    <row r="18" spans="1:27" x14ac:dyDescent="0.35">
      <c r="A18" s="64"/>
      <c r="B18" s="8">
        <v>44359</v>
      </c>
      <c r="C18" s="3" t="s">
        <v>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>
        <f t="shared" si="2"/>
        <v>0</v>
      </c>
      <c r="U18" s="68"/>
      <c r="V18" s="31"/>
      <c r="W18" s="11"/>
      <c r="X18" s="13"/>
    </row>
    <row r="19" spans="1:27" ht="15.75" customHeight="1" thickBot="1" x14ac:dyDescent="0.4">
      <c r="A19" s="64"/>
      <c r="B19" s="8">
        <v>44360</v>
      </c>
      <c r="C19" s="3" t="s">
        <v>7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34">
        <f t="shared" si="2"/>
        <v>0</v>
      </c>
      <c r="U19" s="68"/>
      <c r="V19" s="45"/>
      <c r="W19" s="11"/>
      <c r="X19" s="13"/>
    </row>
    <row r="20" spans="1:27" ht="15" thickBot="1" x14ac:dyDescent="0.4">
      <c r="A20" s="64"/>
      <c r="C20" s="3" t="s">
        <v>13</v>
      </c>
      <c r="D20" s="14">
        <f t="shared" ref="D20:Q20" si="3">SUM(D13:D19)</f>
        <v>0</v>
      </c>
      <c r="E20" s="14">
        <f t="shared" si="3"/>
        <v>0</v>
      </c>
      <c r="F20" s="14">
        <f t="shared" si="3"/>
        <v>0</v>
      </c>
      <c r="G20" s="14">
        <f t="shared" si="3"/>
        <v>0</v>
      </c>
      <c r="H20" s="15">
        <f t="shared" si="3"/>
        <v>0</v>
      </c>
      <c r="I20" s="15">
        <f t="shared" si="3"/>
        <v>0</v>
      </c>
      <c r="J20" s="16">
        <f t="shared" si="3"/>
        <v>0</v>
      </c>
      <c r="K20" s="16">
        <f t="shared" si="3"/>
        <v>0</v>
      </c>
      <c r="L20" s="16">
        <f t="shared" si="3"/>
        <v>0</v>
      </c>
      <c r="M20" s="16">
        <f t="shared" si="3"/>
        <v>0</v>
      </c>
      <c r="N20" s="16">
        <f t="shared" si="3"/>
        <v>0</v>
      </c>
      <c r="O20" s="16">
        <f t="shared" si="3"/>
        <v>0</v>
      </c>
      <c r="P20" s="25">
        <f t="shared" si="3"/>
        <v>0</v>
      </c>
      <c r="Q20" s="25">
        <f t="shared" si="3"/>
        <v>0</v>
      </c>
      <c r="R20" s="24" t="s">
        <v>56</v>
      </c>
      <c r="S20" s="2" t="s">
        <v>22</v>
      </c>
      <c r="U20" s="68"/>
      <c r="V20" s="45"/>
      <c r="W20" s="11"/>
    </row>
    <row r="21" spans="1:27" ht="15" thickBot="1" x14ac:dyDescent="0.4">
      <c r="A21" s="29"/>
      <c r="C21" s="3"/>
      <c r="D21" s="71">
        <f>SUM(D20:G20)</f>
        <v>0</v>
      </c>
      <c r="E21" s="71"/>
      <c r="F21" s="71"/>
      <c r="G21" s="71"/>
      <c r="H21" s="72">
        <f>SUM(H20:I20)</f>
        <v>0</v>
      </c>
      <c r="I21" s="72"/>
      <c r="J21" s="73">
        <f>SUM(J20:O20)</f>
        <v>0</v>
      </c>
      <c r="K21" s="73"/>
      <c r="L21" s="73"/>
      <c r="M21" s="73"/>
      <c r="N21" s="73"/>
      <c r="O21" s="73"/>
      <c r="P21" s="62">
        <f>SUM(P20:Q20)</f>
        <v>0</v>
      </c>
      <c r="Q21" s="63"/>
      <c r="R21" s="9">
        <f t="shared" ref="R21:R28" si="4">SUM(D21:Q21)</f>
        <v>0</v>
      </c>
      <c r="S21" s="9">
        <f>S12-R21</f>
        <v>0</v>
      </c>
      <c r="U21" s="69"/>
      <c r="V21" s="46"/>
      <c r="W21" s="47"/>
      <c r="X21" s="13"/>
    </row>
    <row r="22" spans="1:27" ht="15" thickBot="1" x14ac:dyDescent="0.4">
      <c r="A22" s="29"/>
      <c r="B22" s="8">
        <v>44361</v>
      </c>
      <c r="C22" s="3" t="s">
        <v>1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0"/>
      <c r="Q22" s="21"/>
      <c r="R22" s="33">
        <f t="shared" si="4"/>
        <v>0</v>
      </c>
      <c r="Z22" t="s">
        <v>44</v>
      </c>
      <c r="AA22">
        <f>D59</f>
        <v>0</v>
      </c>
    </row>
    <row r="23" spans="1:27" ht="15" thickBot="1" x14ac:dyDescent="0.4">
      <c r="A23" s="64" t="s">
        <v>15</v>
      </c>
      <c r="B23" s="8">
        <v>44362</v>
      </c>
      <c r="C23" s="3" t="s">
        <v>2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>
        <f t="shared" si="4"/>
        <v>0</v>
      </c>
      <c r="U23" s="12" t="s">
        <v>17</v>
      </c>
      <c r="V23" s="65">
        <f t="shared" ref="V23" si="5">W11-SUM(W13:W21)</f>
        <v>0</v>
      </c>
      <c r="W23" s="66"/>
      <c r="Z23" t="s">
        <v>45</v>
      </c>
      <c r="AA23">
        <f>H59</f>
        <v>0</v>
      </c>
    </row>
    <row r="24" spans="1:27" x14ac:dyDescent="0.35">
      <c r="A24" s="64"/>
      <c r="B24" s="8">
        <v>44363</v>
      </c>
      <c r="C24" s="3" t="s">
        <v>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>
        <f t="shared" si="4"/>
        <v>0</v>
      </c>
      <c r="Z24" t="s">
        <v>48</v>
      </c>
      <c r="AA24">
        <f>J59</f>
        <v>0</v>
      </c>
    </row>
    <row r="25" spans="1:27" x14ac:dyDescent="0.35">
      <c r="A25" s="64"/>
      <c r="B25" s="8">
        <v>44364</v>
      </c>
      <c r="C25" s="3" t="s">
        <v>4</v>
      </c>
      <c r="D25" s="20"/>
      <c r="E25" s="20"/>
      <c r="F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>
        <f t="shared" si="4"/>
        <v>0</v>
      </c>
      <c r="U25">
        <f>S3-S48</f>
        <v>0</v>
      </c>
      <c r="Z25" t="s">
        <v>53</v>
      </c>
      <c r="AA25">
        <f>P59</f>
        <v>0</v>
      </c>
    </row>
    <row r="26" spans="1:27" x14ac:dyDescent="0.35">
      <c r="A26" s="64"/>
      <c r="B26" s="8">
        <v>44365</v>
      </c>
      <c r="C26" s="3" t="s">
        <v>5</v>
      </c>
      <c r="D26" s="20"/>
      <c r="E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>
        <f t="shared" si="4"/>
        <v>0</v>
      </c>
      <c r="Z26" t="s">
        <v>83</v>
      </c>
      <c r="AA26">
        <f>W13</f>
        <v>0</v>
      </c>
    </row>
    <row r="27" spans="1:27" x14ac:dyDescent="0.35">
      <c r="A27" s="64"/>
      <c r="B27" s="8">
        <v>44366</v>
      </c>
      <c r="C27" s="3" t="s">
        <v>6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>
        <f t="shared" si="4"/>
        <v>0</v>
      </c>
      <c r="Z27" t="s">
        <v>84</v>
      </c>
      <c r="AA27">
        <f>SUM(W14:W17)</f>
        <v>0</v>
      </c>
    </row>
    <row r="28" spans="1:27" ht="15" customHeight="1" thickBot="1" x14ac:dyDescent="0.4">
      <c r="A28" s="64"/>
      <c r="B28" s="8">
        <v>44367</v>
      </c>
      <c r="C28" s="3" t="s">
        <v>7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34">
        <f t="shared" si="4"/>
        <v>0</v>
      </c>
    </row>
    <row r="29" spans="1:27" ht="15" thickBot="1" x14ac:dyDescent="0.4">
      <c r="A29" s="64"/>
      <c r="C29" s="3" t="s">
        <v>13</v>
      </c>
      <c r="D29" s="14">
        <f t="shared" ref="D29:Q29" si="6">SUM(D22:D28)</f>
        <v>0</v>
      </c>
      <c r="E29" s="14">
        <f>SUM(E22:E28)</f>
        <v>0</v>
      </c>
      <c r="F29" s="14">
        <f t="shared" si="6"/>
        <v>0</v>
      </c>
      <c r="G29" s="14">
        <f t="shared" si="6"/>
        <v>0</v>
      </c>
      <c r="H29" s="15">
        <f t="shared" si="6"/>
        <v>0</v>
      </c>
      <c r="I29" s="15">
        <f t="shared" si="6"/>
        <v>0</v>
      </c>
      <c r="J29" s="16">
        <f t="shared" si="6"/>
        <v>0</v>
      </c>
      <c r="K29" s="16">
        <f t="shared" si="6"/>
        <v>0</v>
      </c>
      <c r="L29" s="16">
        <f t="shared" si="6"/>
        <v>0</v>
      </c>
      <c r="M29" s="16">
        <f t="shared" si="6"/>
        <v>0</v>
      </c>
      <c r="N29" s="16">
        <f t="shared" si="6"/>
        <v>0</v>
      </c>
      <c r="O29" s="16">
        <f t="shared" si="6"/>
        <v>0</v>
      </c>
      <c r="P29" s="23">
        <f t="shared" si="6"/>
        <v>0</v>
      </c>
      <c r="Q29" s="23">
        <f t="shared" si="6"/>
        <v>0</v>
      </c>
      <c r="R29" s="24" t="s">
        <v>56</v>
      </c>
      <c r="S29" s="2" t="s">
        <v>23</v>
      </c>
    </row>
    <row r="30" spans="1:27" ht="15" thickBot="1" x14ac:dyDescent="0.4">
      <c r="A30" s="29"/>
      <c r="C30" s="3"/>
      <c r="D30" s="54">
        <f>SUM(D29:G29)</f>
        <v>0</v>
      </c>
      <c r="E30" s="55"/>
      <c r="F30" s="55"/>
      <c r="G30" s="56"/>
      <c r="H30" s="57">
        <f>SUM(H29:I29)</f>
        <v>0</v>
      </c>
      <c r="I30" s="58"/>
      <c r="J30" s="59">
        <f>SUM(J29:O29)</f>
        <v>0</v>
      </c>
      <c r="K30" s="60"/>
      <c r="L30" s="60"/>
      <c r="M30" s="60"/>
      <c r="N30" s="60"/>
      <c r="O30" s="61"/>
      <c r="P30" s="62">
        <f>SUM(P29:Q29)</f>
        <v>0</v>
      </c>
      <c r="Q30" s="63"/>
      <c r="R30" s="9">
        <f t="shared" ref="R30:R37" si="7">SUM(D30:Q30)</f>
        <v>0</v>
      </c>
      <c r="S30" s="9">
        <f>S21-R30</f>
        <v>0</v>
      </c>
    </row>
    <row r="31" spans="1:27" x14ac:dyDescent="0.35">
      <c r="A31" s="29"/>
      <c r="B31" s="8">
        <v>44368</v>
      </c>
      <c r="C31" s="3" t="s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0"/>
      <c r="Q31" s="21"/>
      <c r="R31" s="33">
        <f t="shared" si="7"/>
        <v>0</v>
      </c>
    </row>
    <row r="32" spans="1:27" x14ac:dyDescent="0.35">
      <c r="A32" s="64" t="s">
        <v>16</v>
      </c>
      <c r="B32" s="8">
        <v>44369</v>
      </c>
      <c r="C32" s="3" t="s">
        <v>2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>
        <f t="shared" si="7"/>
        <v>0</v>
      </c>
    </row>
    <row r="33" spans="1:19" x14ac:dyDescent="0.35">
      <c r="A33" s="64"/>
      <c r="B33" s="8">
        <v>44370</v>
      </c>
      <c r="C33" s="3" t="s">
        <v>3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>
        <f t="shared" si="7"/>
        <v>0</v>
      </c>
    </row>
    <row r="34" spans="1:19" x14ac:dyDescent="0.35">
      <c r="A34" s="64"/>
      <c r="B34" s="8">
        <v>44371</v>
      </c>
      <c r="C34" s="3" t="s">
        <v>4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>
        <f t="shared" si="7"/>
        <v>0</v>
      </c>
    </row>
    <row r="35" spans="1:19" x14ac:dyDescent="0.35">
      <c r="A35" s="64"/>
      <c r="B35" s="8">
        <v>44372</v>
      </c>
      <c r="C35" s="3" t="s">
        <v>5</v>
      </c>
      <c r="D35" s="20"/>
      <c r="F35" s="20"/>
      <c r="G35" s="20"/>
      <c r="H35" s="20"/>
      <c r="J35" s="20"/>
      <c r="K35" s="20"/>
      <c r="L35" s="20"/>
      <c r="N35" s="20"/>
      <c r="O35" s="20"/>
      <c r="P35" s="20"/>
      <c r="Q35" s="20"/>
      <c r="R35" s="20">
        <f t="shared" si="7"/>
        <v>0</v>
      </c>
    </row>
    <row r="36" spans="1:19" x14ac:dyDescent="0.35">
      <c r="A36" s="64"/>
      <c r="B36" s="8">
        <v>44373</v>
      </c>
      <c r="C36" s="3" t="s">
        <v>6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>
        <f t="shared" si="7"/>
        <v>0</v>
      </c>
    </row>
    <row r="37" spans="1:19" ht="15" customHeight="1" thickBot="1" x14ac:dyDescent="0.4">
      <c r="A37" s="64"/>
      <c r="B37" s="8">
        <v>44374</v>
      </c>
      <c r="C37" s="3" t="s">
        <v>7</v>
      </c>
      <c r="D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34">
        <f t="shared" si="7"/>
        <v>0</v>
      </c>
    </row>
    <row r="38" spans="1:19" ht="15" thickBot="1" x14ac:dyDescent="0.4">
      <c r="A38" s="64"/>
      <c r="C38" s="3" t="s">
        <v>13</v>
      </c>
      <c r="D38" s="14">
        <f>SUM(D31:D37)</f>
        <v>0</v>
      </c>
      <c r="E38" s="14">
        <f t="shared" ref="E38:Q38" si="8">SUM(E31:E37)</f>
        <v>0</v>
      </c>
      <c r="F38" s="14">
        <f t="shared" si="8"/>
        <v>0</v>
      </c>
      <c r="G38" s="14">
        <f t="shared" si="8"/>
        <v>0</v>
      </c>
      <c r="H38" s="15">
        <f t="shared" si="8"/>
        <v>0</v>
      </c>
      <c r="I38" s="15">
        <f t="shared" si="8"/>
        <v>0</v>
      </c>
      <c r="J38" s="16">
        <f t="shared" si="8"/>
        <v>0</v>
      </c>
      <c r="K38" s="16">
        <f t="shared" si="8"/>
        <v>0</v>
      </c>
      <c r="L38" s="16">
        <f t="shared" si="8"/>
        <v>0</v>
      </c>
      <c r="M38" s="16">
        <f t="shared" si="8"/>
        <v>0</v>
      </c>
      <c r="N38" s="16">
        <f t="shared" si="8"/>
        <v>0</v>
      </c>
      <c r="O38" s="16">
        <f t="shared" si="8"/>
        <v>0</v>
      </c>
      <c r="P38" s="25">
        <f t="shared" si="8"/>
        <v>0</v>
      </c>
      <c r="Q38" s="25">
        <f t="shared" si="8"/>
        <v>0</v>
      </c>
      <c r="R38" s="24" t="s">
        <v>56</v>
      </c>
      <c r="S38" s="2" t="s">
        <v>24</v>
      </c>
    </row>
    <row r="39" spans="1:19" ht="15" thickBot="1" x14ac:dyDescent="0.4">
      <c r="A39" s="29"/>
      <c r="C39" s="3"/>
      <c r="D39" s="54">
        <f t="shared" ref="D39" si="9">SUM(D38:G38)</f>
        <v>0</v>
      </c>
      <c r="E39" s="55"/>
      <c r="F39" s="55"/>
      <c r="G39" s="56"/>
      <c r="H39" s="57">
        <f>SUM(H38:I38)</f>
        <v>0</v>
      </c>
      <c r="I39" s="58"/>
      <c r="J39" s="59">
        <f>SUM(J38:O38)</f>
        <v>0</v>
      </c>
      <c r="K39" s="60"/>
      <c r="L39" s="60"/>
      <c r="M39" s="60"/>
      <c r="N39" s="60"/>
      <c r="O39" s="61"/>
      <c r="P39" s="62">
        <f>SUM(P38:Q38)</f>
        <v>0</v>
      </c>
      <c r="Q39" s="63"/>
      <c r="R39" s="9">
        <f t="shared" ref="R39:R46" si="10">SUM(D39:Q39)</f>
        <v>0</v>
      </c>
      <c r="S39" s="9">
        <f>S30-R39</f>
        <v>0</v>
      </c>
    </row>
    <row r="40" spans="1:19" x14ac:dyDescent="0.35">
      <c r="A40" s="29"/>
      <c r="B40" s="8">
        <v>44375</v>
      </c>
      <c r="C40" s="3" t="s">
        <v>1</v>
      </c>
      <c r="D40" s="27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33">
        <f t="shared" si="10"/>
        <v>0</v>
      </c>
    </row>
    <row r="41" spans="1:19" ht="15" customHeight="1" x14ac:dyDescent="0.35">
      <c r="A41" s="64" t="s">
        <v>29</v>
      </c>
      <c r="B41" s="8">
        <v>44376</v>
      </c>
      <c r="C41" s="3" t="s">
        <v>2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>
        <f t="shared" si="10"/>
        <v>0</v>
      </c>
    </row>
    <row r="42" spans="1:19" x14ac:dyDescent="0.35">
      <c r="A42" s="64"/>
      <c r="B42" s="8">
        <v>44377</v>
      </c>
      <c r="C42" s="3" t="s">
        <v>3</v>
      </c>
      <c r="D42" s="28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>
        <f t="shared" si="10"/>
        <v>0</v>
      </c>
    </row>
    <row r="43" spans="1:19" x14ac:dyDescent="0.35">
      <c r="A43" s="64"/>
      <c r="B43" s="8" t="s">
        <v>33</v>
      </c>
      <c r="C43" s="3" t="s">
        <v>4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>
        <f t="shared" si="10"/>
        <v>0</v>
      </c>
    </row>
    <row r="44" spans="1:19" ht="16.5" customHeight="1" x14ac:dyDescent="0.35">
      <c r="A44" s="64"/>
      <c r="B44" s="8" t="s">
        <v>33</v>
      </c>
      <c r="C44" s="3" t="s">
        <v>5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>
        <f t="shared" si="10"/>
        <v>0</v>
      </c>
    </row>
    <row r="45" spans="1:19" x14ac:dyDescent="0.35">
      <c r="A45" s="64"/>
      <c r="B45" s="8" t="s">
        <v>33</v>
      </c>
      <c r="C45" s="3" t="s">
        <v>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>
        <f t="shared" si="10"/>
        <v>0</v>
      </c>
    </row>
    <row r="46" spans="1:19" ht="15" thickBot="1" x14ac:dyDescent="0.4">
      <c r="A46" s="50"/>
      <c r="B46" s="8" t="s">
        <v>33</v>
      </c>
      <c r="C46" s="3" t="s">
        <v>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34">
        <f t="shared" si="10"/>
        <v>0</v>
      </c>
    </row>
    <row r="47" spans="1:19" ht="15" thickBot="1" x14ac:dyDescent="0.4">
      <c r="A47" s="50"/>
      <c r="B47" s="8"/>
      <c r="C47" s="3" t="s">
        <v>13</v>
      </c>
      <c r="D47" s="14">
        <f t="shared" ref="D47:Q47" si="11">SUM(D40:D46)</f>
        <v>0</v>
      </c>
      <c r="E47" s="14">
        <f t="shared" si="11"/>
        <v>0</v>
      </c>
      <c r="F47" s="14">
        <f t="shared" si="11"/>
        <v>0</v>
      </c>
      <c r="G47" s="14">
        <f t="shared" si="11"/>
        <v>0</v>
      </c>
      <c r="H47" s="15">
        <f t="shared" si="11"/>
        <v>0</v>
      </c>
      <c r="I47" s="15">
        <f t="shared" si="11"/>
        <v>0</v>
      </c>
      <c r="J47" s="16">
        <f t="shared" si="11"/>
        <v>0</v>
      </c>
      <c r="K47" s="16">
        <f t="shared" si="11"/>
        <v>0</v>
      </c>
      <c r="L47" s="16">
        <f t="shared" si="11"/>
        <v>0</v>
      </c>
      <c r="M47" s="16">
        <f t="shared" si="11"/>
        <v>0</v>
      </c>
      <c r="N47" s="16">
        <f t="shared" si="11"/>
        <v>0</v>
      </c>
      <c r="O47" s="16">
        <f t="shared" si="11"/>
        <v>0</v>
      </c>
      <c r="P47" s="17">
        <f t="shared" si="11"/>
        <v>0</v>
      </c>
      <c r="Q47" s="17">
        <f t="shared" si="11"/>
        <v>0</v>
      </c>
      <c r="R47" s="24" t="s">
        <v>56</v>
      </c>
      <c r="S47" s="2" t="s">
        <v>28</v>
      </c>
    </row>
    <row r="48" spans="1:19" ht="15" thickBot="1" x14ac:dyDescent="0.4">
      <c r="B48" s="8"/>
      <c r="C48" s="3"/>
      <c r="D48" s="54">
        <f>SUM(D47:G47)</f>
        <v>0</v>
      </c>
      <c r="E48" s="55"/>
      <c r="F48" s="55"/>
      <c r="G48" s="56"/>
      <c r="H48" s="57">
        <f>SUM(H47:I47)</f>
        <v>0</v>
      </c>
      <c r="I48" s="58"/>
      <c r="J48" s="59">
        <f>SUM(J47:O47)</f>
        <v>0</v>
      </c>
      <c r="K48" s="60"/>
      <c r="L48" s="60"/>
      <c r="M48" s="60"/>
      <c r="N48" s="60"/>
      <c r="O48" s="61"/>
      <c r="P48" s="62">
        <f>SUM(P47:Q47)</f>
        <v>0</v>
      </c>
      <c r="Q48" s="63"/>
      <c r="R48" s="9">
        <f t="shared" ref="R48:R55" si="12">SUM(D48:Q48)</f>
        <v>0</v>
      </c>
      <c r="S48" s="9">
        <f>S39-R48</f>
        <v>0</v>
      </c>
    </row>
    <row r="49" spans="1:19" ht="15.75" customHeight="1" x14ac:dyDescent="0.35">
      <c r="A49" s="64" t="s">
        <v>30</v>
      </c>
      <c r="B49" s="8" t="s">
        <v>33</v>
      </c>
      <c r="C49" s="32" t="s">
        <v>1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33">
        <f t="shared" si="12"/>
        <v>0</v>
      </c>
    </row>
    <row r="50" spans="1:19" ht="15.75" customHeight="1" x14ac:dyDescent="0.35">
      <c r="A50" s="64"/>
      <c r="B50" s="8" t="s">
        <v>33</v>
      </c>
      <c r="C50" s="32" t="s">
        <v>2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>
        <f t="shared" si="12"/>
        <v>0</v>
      </c>
    </row>
    <row r="51" spans="1:19" ht="15.75" customHeight="1" x14ac:dyDescent="0.35">
      <c r="A51" s="64"/>
      <c r="B51" s="8" t="s">
        <v>33</v>
      </c>
      <c r="C51" s="32" t="s">
        <v>3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>
        <f t="shared" si="12"/>
        <v>0</v>
      </c>
    </row>
    <row r="52" spans="1:19" ht="15.75" customHeight="1" x14ac:dyDescent="0.35">
      <c r="A52" s="64"/>
      <c r="B52" s="8" t="s">
        <v>33</v>
      </c>
      <c r="C52" s="32" t="s">
        <v>4</v>
      </c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>
        <f t="shared" si="12"/>
        <v>0</v>
      </c>
    </row>
    <row r="53" spans="1:19" ht="15.75" customHeight="1" x14ac:dyDescent="0.35">
      <c r="A53" s="64"/>
      <c r="B53" s="8" t="s">
        <v>33</v>
      </c>
      <c r="C53" s="32" t="s">
        <v>5</v>
      </c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>
        <f t="shared" si="12"/>
        <v>0</v>
      </c>
    </row>
    <row r="54" spans="1:19" ht="15.75" customHeight="1" x14ac:dyDescent="0.35">
      <c r="A54" s="64"/>
      <c r="B54" s="8" t="s">
        <v>33</v>
      </c>
      <c r="C54" s="32" t="s">
        <v>6</v>
      </c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>
        <f t="shared" si="12"/>
        <v>0</v>
      </c>
    </row>
    <row r="55" spans="1:19" ht="15.75" customHeight="1" thickBot="1" x14ac:dyDescent="0.4">
      <c r="A55" s="64"/>
      <c r="B55" s="8" t="s">
        <v>33</v>
      </c>
      <c r="C55" s="32" t="s">
        <v>7</v>
      </c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0">
        <f t="shared" si="12"/>
        <v>0</v>
      </c>
    </row>
    <row r="56" spans="1:19" ht="15" thickBot="1" x14ac:dyDescent="0.4">
      <c r="A56" s="29"/>
      <c r="B56" s="8"/>
      <c r="C56" s="3" t="s">
        <v>13</v>
      </c>
      <c r="D56" s="39">
        <f t="shared" ref="D56:F56" si="13">SUM(D49:D55)</f>
        <v>0</v>
      </c>
      <c r="E56" s="39">
        <f t="shared" si="13"/>
        <v>0</v>
      </c>
      <c r="F56" s="39">
        <f t="shared" si="13"/>
        <v>0</v>
      </c>
      <c r="G56" s="39">
        <f>SUM(G49:G55)</f>
        <v>0</v>
      </c>
      <c r="H56" s="37">
        <f t="shared" ref="H56:Q56" si="14">SUM(H49:H55)</f>
        <v>0</v>
      </c>
      <c r="I56" s="37">
        <f t="shared" si="14"/>
        <v>0</v>
      </c>
      <c r="J56" s="38">
        <f t="shared" si="14"/>
        <v>0</v>
      </c>
      <c r="K56" s="38">
        <f t="shared" si="14"/>
        <v>0</v>
      </c>
      <c r="L56" s="38">
        <f t="shared" si="14"/>
        <v>0</v>
      </c>
      <c r="M56" s="38">
        <f t="shared" si="14"/>
        <v>0</v>
      </c>
      <c r="N56" s="38">
        <f t="shared" si="14"/>
        <v>0</v>
      </c>
      <c r="O56" s="38">
        <f t="shared" si="14"/>
        <v>0</v>
      </c>
      <c r="P56" s="40">
        <f t="shared" si="14"/>
        <v>0</v>
      </c>
      <c r="Q56" s="40">
        <f t="shared" si="14"/>
        <v>0</v>
      </c>
      <c r="R56" s="24" t="s">
        <v>56</v>
      </c>
      <c r="S56" s="2" t="s">
        <v>39</v>
      </c>
    </row>
    <row r="57" spans="1:19" ht="15" thickBot="1" x14ac:dyDescent="0.4">
      <c r="A57" s="29"/>
      <c r="C57" s="3"/>
      <c r="D57" s="54">
        <f>SUM(D56:G56)</f>
        <v>0</v>
      </c>
      <c r="E57" s="55"/>
      <c r="F57" s="55"/>
      <c r="G57" s="56"/>
      <c r="H57" s="57">
        <f>SUM(H56:I56)</f>
        <v>0</v>
      </c>
      <c r="I57" s="58"/>
      <c r="J57" s="59">
        <f>SUM(J56:O56)</f>
        <v>0</v>
      </c>
      <c r="K57" s="60"/>
      <c r="L57" s="60"/>
      <c r="M57" s="60"/>
      <c r="N57" s="60"/>
      <c r="O57" s="61"/>
      <c r="P57" s="62">
        <f>SUM(P56:Q56)</f>
        <v>0</v>
      </c>
      <c r="Q57" s="63"/>
      <c r="R57" s="9">
        <f>SUM(D57:Q57)</f>
        <v>0</v>
      </c>
      <c r="S57" s="9">
        <f>S48-R57</f>
        <v>0</v>
      </c>
    </row>
    <row r="58" spans="1:19" x14ac:dyDescent="0.35">
      <c r="A58" s="29"/>
    </row>
    <row r="59" spans="1:19" x14ac:dyDescent="0.35">
      <c r="A59" s="29"/>
      <c r="B59" t="s">
        <v>55</v>
      </c>
      <c r="D59" s="54">
        <f t="shared" ref="D59" si="15">D12+D21+D30+D39+D48+D57</f>
        <v>0</v>
      </c>
      <c r="E59" s="55"/>
      <c r="F59" s="55"/>
      <c r="G59" s="56"/>
      <c r="H59" s="57">
        <f t="shared" ref="H59" si="16">H12+H21+H30+H39+H48+H57</f>
        <v>0</v>
      </c>
      <c r="I59" s="58"/>
      <c r="J59" s="59">
        <f t="shared" ref="J59" si="17">J12+J21+J30+J39+J48+J57</f>
        <v>0</v>
      </c>
      <c r="K59" s="60"/>
      <c r="L59" s="60"/>
      <c r="M59" s="60"/>
      <c r="N59" s="60"/>
      <c r="O59" s="61"/>
      <c r="P59" s="62">
        <f t="shared" ref="P59" si="18">P12+P21+P30+P39+P48+P57</f>
        <v>0</v>
      </c>
      <c r="Q59" s="63"/>
      <c r="R59">
        <f>R12+R21+R30+R39+R48+R57</f>
        <v>0</v>
      </c>
    </row>
  </sheetData>
  <mergeCells count="42">
    <mergeCell ref="A1:P1"/>
    <mergeCell ref="D2:G2"/>
    <mergeCell ref="H2:I2"/>
    <mergeCell ref="J2:O2"/>
    <mergeCell ref="P2:Q2"/>
    <mergeCell ref="P21:Q21"/>
    <mergeCell ref="A23:A29"/>
    <mergeCell ref="U4:U11"/>
    <mergeCell ref="D12:G12"/>
    <mergeCell ref="H12:I12"/>
    <mergeCell ref="J12:O12"/>
    <mergeCell ref="P12:Q12"/>
    <mergeCell ref="U13:U21"/>
    <mergeCell ref="A4:A11"/>
    <mergeCell ref="A32:A38"/>
    <mergeCell ref="A14:A20"/>
    <mergeCell ref="D21:G21"/>
    <mergeCell ref="H21:I21"/>
    <mergeCell ref="J21:O21"/>
    <mergeCell ref="V23:W23"/>
    <mergeCell ref="D30:G30"/>
    <mergeCell ref="H30:I30"/>
    <mergeCell ref="J30:O30"/>
    <mergeCell ref="P30:Q30"/>
    <mergeCell ref="A41:A45"/>
    <mergeCell ref="D48:G48"/>
    <mergeCell ref="H48:I48"/>
    <mergeCell ref="J48:O48"/>
    <mergeCell ref="P48:Q48"/>
    <mergeCell ref="D59:G59"/>
    <mergeCell ref="H59:I59"/>
    <mergeCell ref="J59:O59"/>
    <mergeCell ref="P59:Q59"/>
    <mergeCell ref="D39:G39"/>
    <mergeCell ref="H39:I39"/>
    <mergeCell ref="J39:O39"/>
    <mergeCell ref="P39:Q39"/>
    <mergeCell ref="A49:A55"/>
    <mergeCell ref="D57:G57"/>
    <mergeCell ref="H57:I57"/>
    <mergeCell ref="J57:O57"/>
    <mergeCell ref="P57:Q57"/>
  </mergeCells>
  <conditionalFormatting sqref="Z6">
    <cfRule type="cellIs" dxfId="27" priority="1" operator="lessThan">
      <formula>-200</formula>
    </cfRule>
    <cfRule type="cellIs" dxfId="26" priority="2" operator="between">
      <formula>-200</formula>
      <formula>0</formula>
    </cfRule>
    <cfRule type="cellIs" dxfId="25" priority="3" operator="between">
      <formula>0</formula>
      <formula>200</formula>
    </cfRule>
    <cfRule type="cellIs" dxfId="24" priority="4" operator="greaterThan">
      <formula>200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672D9-5CD6-4BCE-B549-C36548914935}">
  <sheetPr codeName="Foglio7"/>
  <dimension ref="A1:AA59"/>
  <sheetViews>
    <sheetView zoomScale="55" zoomScaleNormal="5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X28" sqref="X28"/>
    </sheetView>
  </sheetViews>
  <sheetFormatPr defaultRowHeight="14.5" x14ac:dyDescent="0.35"/>
  <cols>
    <col min="1" max="1" width="3.7265625" bestFit="1" customWidth="1"/>
    <col min="2" max="2" width="12.453125" bestFit="1" customWidth="1"/>
    <col min="3" max="3" width="7.54296875" bestFit="1" customWidth="1"/>
    <col min="4" max="4" width="11" bestFit="1" customWidth="1"/>
    <col min="5" max="5" width="13.6328125" bestFit="1" customWidth="1"/>
    <col min="6" max="6" width="13.26953125" bestFit="1" customWidth="1"/>
    <col min="10" max="10" width="8.1796875" bestFit="1" customWidth="1"/>
    <col min="11" max="11" width="10" bestFit="1" customWidth="1"/>
    <col min="12" max="12" width="9.54296875" customWidth="1"/>
    <col min="14" max="14" width="9.453125" customWidth="1"/>
    <col min="18" max="18" width="17.90625" bestFit="1" customWidth="1"/>
    <col min="19" max="19" width="14.26953125" bestFit="1" customWidth="1"/>
    <col min="21" max="21" width="19.26953125" bestFit="1" customWidth="1"/>
    <col min="22" max="22" width="16.54296875" bestFit="1" customWidth="1"/>
    <col min="25" max="25" width="27.36328125" bestFit="1" customWidth="1"/>
    <col min="26" max="26" width="13.81640625" bestFit="1" customWidth="1"/>
    <col min="28" max="28" width="21.453125" bestFit="1" customWidth="1"/>
  </cols>
  <sheetData>
    <row r="1" spans="1:26" ht="26" x14ac:dyDescent="0.6">
      <c r="A1" s="74" t="str" cm="1">
        <f t="array" aca="1" ref="A1" ca="1">MID(CELL("nomefile",A1),FIND("]",CELL("nomefile",A1))+1,255)</f>
        <v>Luglio 2021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51"/>
    </row>
    <row r="2" spans="1:26" ht="15" customHeight="1" x14ac:dyDescent="0.35">
      <c r="D2" s="76" t="s">
        <v>44</v>
      </c>
      <c r="E2" s="76"/>
      <c r="F2" s="76"/>
      <c r="G2" s="76"/>
      <c r="H2" s="77" t="s">
        <v>45</v>
      </c>
      <c r="I2" s="77"/>
      <c r="J2" s="78" t="s">
        <v>48</v>
      </c>
      <c r="K2" s="78"/>
      <c r="L2" s="78"/>
      <c r="M2" s="78"/>
      <c r="N2" s="78"/>
      <c r="O2" s="78"/>
      <c r="P2" s="79" t="s">
        <v>8</v>
      </c>
      <c r="Q2" s="80"/>
      <c r="S2" s="1" t="s">
        <v>17</v>
      </c>
    </row>
    <row r="3" spans="1:26" ht="29.5" thickBot="1" x14ac:dyDescent="0.4">
      <c r="D3" s="19" t="s">
        <v>49</v>
      </c>
      <c r="E3" s="4" t="s">
        <v>54</v>
      </c>
      <c r="F3" s="19" t="s">
        <v>52</v>
      </c>
      <c r="G3" s="4" t="s">
        <v>0</v>
      </c>
      <c r="H3" s="5" t="s">
        <v>46</v>
      </c>
      <c r="I3" s="5" t="s">
        <v>47</v>
      </c>
      <c r="J3" s="6" t="s">
        <v>50</v>
      </c>
      <c r="K3" s="6" t="s">
        <v>11</v>
      </c>
      <c r="L3" s="6" t="s">
        <v>51</v>
      </c>
      <c r="M3" s="6" t="s">
        <v>12</v>
      </c>
      <c r="N3" s="6" t="s">
        <v>10</v>
      </c>
      <c r="O3" s="6" t="s">
        <v>0</v>
      </c>
      <c r="P3" s="7"/>
      <c r="Q3" s="7" t="s">
        <v>26</v>
      </c>
      <c r="R3" s="52" t="s">
        <v>25</v>
      </c>
      <c r="S3" s="2">
        <f>V23</f>
        <v>0</v>
      </c>
    </row>
    <row r="4" spans="1:26" ht="15" customHeight="1" x14ac:dyDescent="0.45">
      <c r="A4" s="64" t="s">
        <v>9</v>
      </c>
      <c r="B4" s="8" t="s">
        <v>33</v>
      </c>
      <c r="C4" s="3" t="s">
        <v>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21"/>
      <c r="R4" s="20">
        <f t="shared" ref="R4:R10" si="0">SUM(D4:Q4)</f>
        <v>0</v>
      </c>
      <c r="U4" s="67" t="s">
        <v>18</v>
      </c>
      <c r="V4" s="26" t="s">
        <v>27</v>
      </c>
      <c r="W4" s="10"/>
      <c r="Y4" s="48" t="s">
        <v>40</v>
      </c>
      <c r="Z4" s="48">
        <f>SUM(W13:W21)+R12+R21+R30+R39+R48+R57</f>
        <v>0</v>
      </c>
    </row>
    <row r="5" spans="1:26" ht="15" customHeight="1" x14ac:dyDescent="0.35">
      <c r="A5" s="64"/>
      <c r="B5" s="8" t="s">
        <v>33</v>
      </c>
      <c r="C5" s="3" t="s">
        <v>2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20"/>
      <c r="R5" s="20">
        <f t="shared" si="0"/>
        <v>0</v>
      </c>
      <c r="U5" s="68"/>
      <c r="V5" s="31"/>
      <c r="W5" s="11"/>
    </row>
    <row r="6" spans="1:26" ht="15" customHeight="1" x14ac:dyDescent="0.45">
      <c r="A6" s="64"/>
      <c r="B6" s="8" t="s">
        <v>33</v>
      </c>
      <c r="C6" s="3" t="s">
        <v>3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20">
        <f t="shared" si="0"/>
        <v>0</v>
      </c>
      <c r="U6" s="68"/>
      <c r="V6" s="31"/>
      <c r="W6" s="11"/>
      <c r="Y6" s="48" t="s">
        <v>42</v>
      </c>
      <c r="Z6" s="48">
        <f>W11-Z4</f>
        <v>0</v>
      </c>
    </row>
    <row r="7" spans="1:26" ht="15" customHeight="1" x14ac:dyDescent="0.35">
      <c r="A7" s="64"/>
      <c r="B7" s="8">
        <v>44378</v>
      </c>
      <c r="C7" s="3" t="s">
        <v>4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20"/>
      <c r="R7" s="20">
        <f t="shared" si="0"/>
        <v>0</v>
      </c>
      <c r="U7" s="68"/>
      <c r="V7" s="31"/>
      <c r="W7" s="11"/>
    </row>
    <row r="8" spans="1:26" ht="15" customHeight="1" x14ac:dyDescent="0.35">
      <c r="A8" s="64"/>
      <c r="B8" s="8">
        <v>44379</v>
      </c>
      <c r="C8" s="3" t="s">
        <v>5</v>
      </c>
      <c r="D8" s="18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>
        <f t="shared" si="0"/>
        <v>0</v>
      </c>
      <c r="U8" s="68"/>
      <c r="V8" s="31"/>
      <c r="W8" s="11"/>
    </row>
    <row r="9" spans="1:26" ht="15" customHeight="1" x14ac:dyDescent="0.35">
      <c r="A9" s="64"/>
      <c r="B9" s="8">
        <v>44380</v>
      </c>
      <c r="C9" s="3" t="s">
        <v>6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20"/>
      <c r="R9" s="20">
        <f t="shared" si="0"/>
        <v>0</v>
      </c>
      <c r="U9" s="68"/>
      <c r="V9" s="31"/>
      <c r="W9" s="11"/>
    </row>
    <row r="10" spans="1:26" ht="15" customHeight="1" thickBot="1" x14ac:dyDescent="0.4">
      <c r="A10" s="64"/>
      <c r="B10" s="8">
        <v>44381</v>
      </c>
      <c r="C10" s="3" t="s">
        <v>7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22"/>
      <c r="R10" s="20">
        <f t="shared" si="0"/>
        <v>0</v>
      </c>
      <c r="U10" s="68"/>
      <c r="V10" s="31"/>
      <c r="W10" s="11"/>
    </row>
    <row r="11" spans="1:26" ht="15" thickBot="1" x14ac:dyDescent="0.4">
      <c r="A11" s="64"/>
      <c r="C11" s="3" t="s">
        <v>13</v>
      </c>
      <c r="D11" s="35">
        <f>SUM(D4:D10)</f>
        <v>0</v>
      </c>
      <c r="E11" s="36">
        <f t="shared" ref="E11:P11" si="1">SUM(E4:E10)</f>
        <v>0</v>
      </c>
      <c r="F11" s="36">
        <f t="shared" si="1"/>
        <v>0</v>
      </c>
      <c r="G11" s="36">
        <f t="shared" si="1"/>
        <v>0</v>
      </c>
      <c r="H11" s="37">
        <f t="shared" si="1"/>
        <v>0</v>
      </c>
      <c r="I11" s="37">
        <f t="shared" si="1"/>
        <v>0</v>
      </c>
      <c r="J11" s="38">
        <f t="shared" si="1"/>
        <v>0</v>
      </c>
      <c r="K11" s="38">
        <f t="shared" si="1"/>
        <v>0</v>
      </c>
      <c r="L11" s="38">
        <f t="shared" si="1"/>
        <v>0</v>
      </c>
      <c r="M11" s="38">
        <f t="shared" si="1"/>
        <v>0</v>
      </c>
      <c r="N11" s="38">
        <f t="shared" si="1"/>
        <v>0</v>
      </c>
      <c r="O11" s="38">
        <f t="shared" si="1"/>
        <v>0</v>
      </c>
      <c r="P11" s="23">
        <f t="shared" si="1"/>
        <v>0</v>
      </c>
      <c r="Q11" s="23">
        <f>SUM(Q4:Q10)</f>
        <v>0</v>
      </c>
      <c r="R11" s="24" t="s">
        <v>56</v>
      </c>
      <c r="S11" s="2" t="s">
        <v>21</v>
      </c>
      <c r="U11" s="69"/>
      <c r="V11" s="49" t="s">
        <v>13</v>
      </c>
      <c r="W11" s="9">
        <f>SUM(W4:W10)</f>
        <v>0</v>
      </c>
    </row>
    <row r="12" spans="1:26" ht="15" thickBot="1" x14ac:dyDescent="0.4">
      <c r="A12" s="29"/>
      <c r="C12" s="3"/>
      <c r="D12" s="70">
        <f>SUM(D11:G11)</f>
        <v>0</v>
      </c>
      <c r="E12" s="71"/>
      <c r="F12" s="71"/>
      <c r="G12" s="71"/>
      <c r="H12" s="72">
        <f>SUM(H11:I11)</f>
        <v>0</v>
      </c>
      <c r="I12" s="72"/>
      <c r="J12" s="73">
        <f>SUM(J11:O11)</f>
        <v>0</v>
      </c>
      <c r="K12" s="73"/>
      <c r="L12" s="73"/>
      <c r="M12" s="73"/>
      <c r="N12" s="73"/>
      <c r="O12" s="73"/>
      <c r="P12" s="62">
        <f>SUM(P11:Q11)</f>
        <v>0</v>
      </c>
      <c r="Q12" s="63"/>
      <c r="R12" s="9">
        <f t="shared" ref="R12:R19" si="2">SUM(D12:Q12)</f>
        <v>0</v>
      </c>
      <c r="S12" s="9">
        <f>$S$3-R12</f>
        <v>0</v>
      </c>
      <c r="U12" s="1"/>
      <c r="V12" s="1"/>
    </row>
    <row r="13" spans="1:26" x14ac:dyDescent="0.35">
      <c r="A13" s="29"/>
      <c r="B13" s="8">
        <v>44382</v>
      </c>
      <c r="C13" s="3" t="s">
        <v>1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0"/>
      <c r="Q13" s="21"/>
      <c r="R13" s="33">
        <f t="shared" si="2"/>
        <v>0</v>
      </c>
      <c r="U13" s="67" t="s">
        <v>19</v>
      </c>
      <c r="V13" s="26" t="s">
        <v>20</v>
      </c>
      <c r="W13" s="10"/>
    </row>
    <row r="14" spans="1:26" x14ac:dyDescent="0.35">
      <c r="A14" s="64" t="s">
        <v>14</v>
      </c>
      <c r="B14" s="8">
        <v>44383</v>
      </c>
      <c r="C14" s="3" t="s">
        <v>2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>
        <f t="shared" si="2"/>
        <v>0</v>
      </c>
      <c r="U14" s="68"/>
      <c r="V14" s="31" t="s">
        <v>35</v>
      </c>
      <c r="W14" s="11"/>
    </row>
    <row r="15" spans="1:26" x14ac:dyDescent="0.35">
      <c r="A15" s="64"/>
      <c r="B15" s="8">
        <v>44384</v>
      </c>
      <c r="C15" s="3" t="s">
        <v>3</v>
      </c>
      <c r="D15" s="20"/>
      <c r="E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>
        <f t="shared" si="2"/>
        <v>0</v>
      </c>
      <c r="U15" s="68"/>
      <c r="V15" s="31" t="s">
        <v>37</v>
      </c>
      <c r="W15" s="11"/>
    </row>
    <row r="16" spans="1:26" ht="15.75" customHeight="1" x14ac:dyDescent="0.35">
      <c r="A16" s="64"/>
      <c r="B16" s="8">
        <v>44385</v>
      </c>
      <c r="C16" s="3" t="s">
        <v>4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>
        <f t="shared" si="2"/>
        <v>0</v>
      </c>
      <c r="U16" s="68"/>
      <c r="V16" s="31" t="s">
        <v>38</v>
      </c>
      <c r="W16" s="11"/>
    </row>
    <row r="17" spans="1:27" x14ac:dyDescent="0.35">
      <c r="A17" s="64"/>
      <c r="B17" s="8">
        <v>44386</v>
      </c>
      <c r="C17" s="3" t="s">
        <v>5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>
        <f t="shared" si="2"/>
        <v>0</v>
      </c>
      <c r="U17" s="68"/>
      <c r="V17" s="31" t="s">
        <v>36</v>
      </c>
      <c r="W17" s="11"/>
    </row>
    <row r="18" spans="1:27" x14ac:dyDescent="0.35">
      <c r="A18" s="64"/>
      <c r="B18" s="8">
        <v>44387</v>
      </c>
      <c r="C18" s="3" t="s">
        <v>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>
        <f t="shared" si="2"/>
        <v>0</v>
      </c>
      <c r="U18" s="68"/>
      <c r="V18" s="31"/>
      <c r="W18" s="11"/>
      <c r="X18" s="13"/>
    </row>
    <row r="19" spans="1:27" ht="15.75" customHeight="1" thickBot="1" x14ac:dyDescent="0.4">
      <c r="A19" s="64"/>
      <c r="B19" s="8">
        <v>44388</v>
      </c>
      <c r="C19" s="3" t="s">
        <v>7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34">
        <f t="shared" si="2"/>
        <v>0</v>
      </c>
      <c r="U19" s="68"/>
      <c r="V19" s="45"/>
      <c r="W19" s="11"/>
      <c r="X19" s="13"/>
    </row>
    <row r="20" spans="1:27" ht="15" thickBot="1" x14ac:dyDescent="0.4">
      <c r="A20" s="64"/>
      <c r="C20" s="3" t="s">
        <v>13</v>
      </c>
      <c r="D20" s="14">
        <f t="shared" ref="D20:Q20" si="3">SUM(D13:D19)</f>
        <v>0</v>
      </c>
      <c r="E20" s="14">
        <f t="shared" si="3"/>
        <v>0</v>
      </c>
      <c r="F20" s="14">
        <f t="shared" si="3"/>
        <v>0</v>
      </c>
      <c r="G20" s="14">
        <f t="shared" si="3"/>
        <v>0</v>
      </c>
      <c r="H20" s="15">
        <f t="shared" si="3"/>
        <v>0</v>
      </c>
      <c r="I20" s="15">
        <f t="shared" si="3"/>
        <v>0</v>
      </c>
      <c r="J20" s="16">
        <f t="shared" si="3"/>
        <v>0</v>
      </c>
      <c r="K20" s="16">
        <f t="shared" si="3"/>
        <v>0</v>
      </c>
      <c r="L20" s="16">
        <f t="shared" si="3"/>
        <v>0</v>
      </c>
      <c r="M20" s="16">
        <f t="shared" si="3"/>
        <v>0</v>
      </c>
      <c r="N20" s="16">
        <f t="shared" si="3"/>
        <v>0</v>
      </c>
      <c r="O20" s="16">
        <f t="shared" si="3"/>
        <v>0</v>
      </c>
      <c r="P20" s="25">
        <f t="shared" si="3"/>
        <v>0</v>
      </c>
      <c r="Q20" s="25">
        <f t="shared" si="3"/>
        <v>0</v>
      </c>
      <c r="R20" s="24" t="s">
        <v>56</v>
      </c>
      <c r="S20" s="2" t="s">
        <v>22</v>
      </c>
      <c r="U20" s="68"/>
      <c r="V20" s="45"/>
      <c r="W20" s="11"/>
    </row>
    <row r="21" spans="1:27" ht="15" thickBot="1" x14ac:dyDescent="0.4">
      <c r="A21" s="29"/>
      <c r="C21" s="3"/>
      <c r="D21" s="71">
        <f>SUM(D20:G20)</f>
        <v>0</v>
      </c>
      <c r="E21" s="71"/>
      <c r="F21" s="71"/>
      <c r="G21" s="71"/>
      <c r="H21" s="72">
        <f>SUM(H20:I20)</f>
        <v>0</v>
      </c>
      <c r="I21" s="72"/>
      <c r="J21" s="73">
        <f>SUM(J20:O20)</f>
        <v>0</v>
      </c>
      <c r="K21" s="73"/>
      <c r="L21" s="73"/>
      <c r="M21" s="73"/>
      <c r="N21" s="73"/>
      <c r="O21" s="73"/>
      <c r="P21" s="62">
        <f>SUM(P20:Q20)</f>
        <v>0</v>
      </c>
      <c r="Q21" s="63"/>
      <c r="R21" s="9">
        <f t="shared" ref="R21:R28" si="4">SUM(D21:Q21)</f>
        <v>0</v>
      </c>
      <c r="S21" s="9">
        <f>S12-R21</f>
        <v>0</v>
      </c>
      <c r="U21" s="69"/>
      <c r="V21" s="46"/>
      <c r="W21" s="47"/>
      <c r="X21" s="13"/>
    </row>
    <row r="22" spans="1:27" ht="15" thickBot="1" x14ac:dyDescent="0.4">
      <c r="A22" s="29"/>
      <c r="B22" s="8">
        <v>44389</v>
      </c>
      <c r="C22" s="3" t="s">
        <v>1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0"/>
      <c r="Q22" s="21"/>
      <c r="R22" s="33">
        <f t="shared" si="4"/>
        <v>0</v>
      </c>
      <c r="Z22" t="s">
        <v>44</v>
      </c>
      <c r="AA22">
        <f>D59</f>
        <v>0</v>
      </c>
    </row>
    <row r="23" spans="1:27" ht="15" thickBot="1" x14ac:dyDescent="0.4">
      <c r="A23" s="64" t="s">
        <v>15</v>
      </c>
      <c r="B23" s="8">
        <v>44390</v>
      </c>
      <c r="C23" s="3" t="s">
        <v>2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>
        <f t="shared" si="4"/>
        <v>0</v>
      </c>
      <c r="U23" s="12" t="s">
        <v>17</v>
      </c>
      <c r="V23" s="65">
        <f t="shared" ref="V23" si="5">W11-SUM(W13:W21)</f>
        <v>0</v>
      </c>
      <c r="W23" s="66"/>
      <c r="Z23" t="s">
        <v>45</v>
      </c>
      <c r="AA23">
        <f>H59</f>
        <v>0</v>
      </c>
    </row>
    <row r="24" spans="1:27" x14ac:dyDescent="0.35">
      <c r="A24" s="64"/>
      <c r="B24" s="8">
        <v>44391</v>
      </c>
      <c r="C24" s="3" t="s">
        <v>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>
        <f t="shared" si="4"/>
        <v>0</v>
      </c>
      <c r="Z24" t="s">
        <v>48</v>
      </c>
      <c r="AA24">
        <f>J59</f>
        <v>0</v>
      </c>
    </row>
    <row r="25" spans="1:27" x14ac:dyDescent="0.35">
      <c r="A25" s="64"/>
      <c r="B25" s="8">
        <v>44392</v>
      </c>
      <c r="C25" s="3" t="s">
        <v>4</v>
      </c>
      <c r="D25" s="20"/>
      <c r="E25" s="20"/>
      <c r="F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>
        <f t="shared" si="4"/>
        <v>0</v>
      </c>
      <c r="U25">
        <f>S3-S48</f>
        <v>0</v>
      </c>
      <c r="Z25" t="s">
        <v>53</v>
      </c>
      <c r="AA25">
        <f>P59</f>
        <v>0</v>
      </c>
    </row>
    <row r="26" spans="1:27" x14ac:dyDescent="0.35">
      <c r="A26" s="64"/>
      <c r="B26" s="8">
        <v>44393</v>
      </c>
      <c r="C26" s="3" t="s">
        <v>5</v>
      </c>
      <c r="D26" s="20"/>
      <c r="E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>
        <f t="shared" si="4"/>
        <v>0</v>
      </c>
      <c r="Z26" t="s">
        <v>83</v>
      </c>
      <c r="AA26">
        <f>W13</f>
        <v>0</v>
      </c>
    </row>
    <row r="27" spans="1:27" x14ac:dyDescent="0.35">
      <c r="A27" s="64"/>
      <c r="B27" s="8">
        <v>44394</v>
      </c>
      <c r="C27" s="3" t="s">
        <v>6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>
        <f t="shared" si="4"/>
        <v>0</v>
      </c>
      <c r="Z27" t="s">
        <v>84</v>
      </c>
      <c r="AA27">
        <f>SUM(W14:W17)</f>
        <v>0</v>
      </c>
    </row>
    <row r="28" spans="1:27" ht="15" customHeight="1" thickBot="1" x14ac:dyDescent="0.4">
      <c r="A28" s="64"/>
      <c r="B28" s="8">
        <v>44395</v>
      </c>
      <c r="C28" s="3" t="s">
        <v>7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34">
        <f t="shared" si="4"/>
        <v>0</v>
      </c>
    </row>
    <row r="29" spans="1:27" ht="15" thickBot="1" x14ac:dyDescent="0.4">
      <c r="A29" s="64"/>
      <c r="C29" s="3" t="s">
        <v>13</v>
      </c>
      <c r="D29" s="14">
        <f t="shared" ref="D29:Q29" si="6">SUM(D22:D28)</f>
        <v>0</v>
      </c>
      <c r="E29" s="14">
        <f>SUM(E22:E28)</f>
        <v>0</v>
      </c>
      <c r="F29" s="14">
        <f t="shared" si="6"/>
        <v>0</v>
      </c>
      <c r="G29" s="14">
        <f t="shared" si="6"/>
        <v>0</v>
      </c>
      <c r="H29" s="15">
        <f t="shared" si="6"/>
        <v>0</v>
      </c>
      <c r="I29" s="15">
        <f t="shared" si="6"/>
        <v>0</v>
      </c>
      <c r="J29" s="16">
        <f t="shared" si="6"/>
        <v>0</v>
      </c>
      <c r="K29" s="16">
        <f t="shared" si="6"/>
        <v>0</v>
      </c>
      <c r="L29" s="16">
        <f t="shared" si="6"/>
        <v>0</v>
      </c>
      <c r="M29" s="16">
        <f t="shared" si="6"/>
        <v>0</v>
      </c>
      <c r="N29" s="16">
        <f t="shared" si="6"/>
        <v>0</v>
      </c>
      <c r="O29" s="16">
        <f t="shared" si="6"/>
        <v>0</v>
      </c>
      <c r="P29" s="23">
        <f t="shared" si="6"/>
        <v>0</v>
      </c>
      <c r="Q29" s="23">
        <f t="shared" si="6"/>
        <v>0</v>
      </c>
      <c r="R29" s="24" t="s">
        <v>56</v>
      </c>
      <c r="S29" s="2" t="s">
        <v>23</v>
      </c>
    </row>
    <row r="30" spans="1:27" ht="15" thickBot="1" x14ac:dyDescent="0.4">
      <c r="A30" s="29"/>
      <c r="C30" s="3"/>
      <c r="D30" s="54">
        <f>SUM(D29:G29)</f>
        <v>0</v>
      </c>
      <c r="E30" s="55"/>
      <c r="F30" s="55"/>
      <c r="G30" s="56"/>
      <c r="H30" s="57">
        <f>SUM(H29:I29)</f>
        <v>0</v>
      </c>
      <c r="I30" s="58"/>
      <c r="J30" s="59">
        <f>SUM(J29:O29)</f>
        <v>0</v>
      </c>
      <c r="K30" s="60"/>
      <c r="L30" s="60"/>
      <c r="M30" s="60"/>
      <c r="N30" s="60"/>
      <c r="O30" s="61"/>
      <c r="P30" s="62">
        <f>SUM(P29:Q29)</f>
        <v>0</v>
      </c>
      <c r="Q30" s="63"/>
      <c r="R30" s="9">
        <f t="shared" ref="R30:R37" si="7">SUM(D30:Q30)</f>
        <v>0</v>
      </c>
      <c r="S30" s="9">
        <f>S21-R30</f>
        <v>0</v>
      </c>
    </row>
    <row r="31" spans="1:27" x14ac:dyDescent="0.35">
      <c r="A31" s="29"/>
      <c r="B31" s="8">
        <v>44396</v>
      </c>
      <c r="C31" s="3" t="s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0"/>
      <c r="Q31" s="21"/>
      <c r="R31" s="33">
        <f t="shared" si="7"/>
        <v>0</v>
      </c>
    </row>
    <row r="32" spans="1:27" x14ac:dyDescent="0.35">
      <c r="A32" s="64" t="s">
        <v>16</v>
      </c>
      <c r="B32" s="8">
        <v>44397</v>
      </c>
      <c r="C32" s="3" t="s">
        <v>2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>
        <f t="shared" si="7"/>
        <v>0</v>
      </c>
    </row>
    <row r="33" spans="1:19" x14ac:dyDescent="0.35">
      <c r="A33" s="64"/>
      <c r="B33" s="8">
        <v>44398</v>
      </c>
      <c r="C33" s="3" t="s">
        <v>3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>
        <f t="shared" si="7"/>
        <v>0</v>
      </c>
    </row>
    <row r="34" spans="1:19" x14ac:dyDescent="0.35">
      <c r="A34" s="64"/>
      <c r="B34" s="8">
        <v>44399</v>
      </c>
      <c r="C34" s="3" t="s">
        <v>4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>
        <f t="shared" si="7"/>
        <v>0</v>
      </c>
    </row>
    <row r="35" spans="1:19" x14ac:dyDescent="0.35">
      <c r="A35" s="64"/>
      <c r="B35" s="8">
        <v>44400</v>
      </c>
      <c r="C35" s="3" t="s">
        <v>5</v>
      </c>
      <c r="D35" s="20"/>
      <c r="F35" s="20"/>
      <c r="G35" s="20"/>
      <c r="H35" s="20"/>
      <c r="J35" s="20"/>
      <c r="K35" s="20"/>
      <c r="L35" s="20"/>
      <c r="N35" s="20"/>
      <c r="O35" s="20"/>
      <c r="P35" s="20"/>
      <c r="Q35" s="20"/>
      <c r="R35" s="20">
        <f t="shared" si="7"/>
        <v>0</v>
      </c>
    </row>
    <row r="36" spans="1:19" x14ac:dyDescent="0.35">
      <c r="A36" s="64"/>
      <c r="B36" s="8">
        <v>44401</v>
      </c>
      <c r="C36" s="3" t="s">
        <v>6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>
        <f t="shared" si="7"/>
        <v>0</v>
      </c>
    </row>
    <row r="37" spans="1:19" ht="15" customHeight="1" thickBot="1" x14ac:dyDescent="0.4">
      <c r="A37" s="64"/>
      <c r="B37" s="8">
        <v>44402</v>
      </c>
      <c r="C37" s="3" t="s">
        <v>7</v>
      </c>
      <c r="D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34">
        <f t="shared" si="7"/>
        <v>0</v>
      </c>
    </row>
    <row r="38" spans="1:19" ht="15" thickBot="1" x14ac:dyDescent="0.4">
      <c r="A38" s="64"/>
      <c r="C38" s="3" t="s">
        <v>13</v>
      </c>
      <c r="D38" s="14">
        <f>SUM(D31:D37)</f>
        <v>0</v>
      </c>
      <c r="E38" s="14">
        <f t="shared" ref="E38:Q38" si="8">SUM(E31:E37)</f>
        <v>0</v>
      </c>
      <c r="F38" s="14">
        <f t="shared" si="8"/>
        <v>0</v>
      </c>
      <c r="G38" s="14">
        <f t="shared" si="8"/>
        <v>0</v>
      </c>
      <c r="H38" s="15">
        <f t="shared" si="8"/>
        <v>0</v>
      </c>
      <c r="I38" s="15">
        <f t="shared" si="8"/>
        <v>0</v>
      </c>
      <c r="J38" s="16">
        <f t="shared" si="8"/>
        <v>0</v>
      </c>
      <c r="K38" s="16">
        <f t="shared" si="8"/>
        <v>0</v>
      </c>
      <c r="L38" s="16">
        <f t="shared" si="8"/>
        <v>0</v>
      </c>
      <c r="M38" s="16">
        <f t="shared" si="8"/>
        <v>0</v>
      </c>
      <c r="N38" s="16">
        <f t="shared" si="8"/>
        <v>0</v>
      </c>
      <c r="O38" s="16">
        <f t="shared" si="8"/>
        <v>0</v>
      </c>
      <c r="P38" s="25">
        <f t="shared" si="8"/>
        <v>0</v>
      </c>
      <c r="Q38" s="25">
        <f t="shared" si="8"/>
        <v>0</v>
      </c>
      <c r="R38" s="24" t="s">
        <v>56</v>
      </c>
      <c r="S38" s="2" t="s">
        <v>24</v>
      </c>
    </row>
    <row r="39" spans="1:19" ht="15" thickBot="1" x14ac:dyDescent="0.4">
      <c r="A39" s="29"/>
      <c r="C39" s="3"/>
      <c r="D39" s="54">
        <f t="shared" ref="D39" si="9">SUM(D38:G38)</f>
        <v>0</v>
      </c>
      <c r="E39" s="55"/>
      <c r="F39" s="55"/>
      <c r="G39" s="56"/>
      <c r="H39" s="57">
        <f>SUM(H38:I38)</f>
        <v>0</v>
      </c>
      <c r="I39" s="58"/>
      <c r="J39" s="59">
        <f>SUM(J38:O38)</f>
        <v>0</v>
      </c>
      <c r="K39" s="60"/>
      <c r="L39" s="60"/>
      <c r="M39" s="60"/>
      <c r="N39" s="60"/>
      <c r="O39" s="61"/>
      <c r="P39" s="62">
        <f>SUM(P38:Q38)</f>
        <v>0</v>
      </c>
      <c r="Q39" s="63"/>
      <c r="R39" s="9">
        <f t="shared" ref="R39:R46" si="10">SUM(D39:Q39)</f>
        <v>0</v>
      </c>
      <c r="S39" s="9">
        <f>S30-R39</f>
        <v>0</v>
      </c>
    </row>
    <row r="40" spans="1:19" x14ac:dyDescent="0.35">
      <c r="A40" s="29"/>
      <c r="B40" s="8">
        <v>44403</v>
      </c>
      <c r="C40" s="3" t="s">
        <v>1</v>
      </c>
      <c r="D40" s="27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33">
        <f t="shared" si="10"/>
        <v>0</v>
      </c>
    </row>
    <row r="41" spans="1:19" ht="15" customHeight="1" x14ac:dyDescent="0.35">
      <c r="A41" s="64" t="s">
        <v>29</v>
      </c>
      <c r="B41" s="8">
        <v>44404</v>
      </c>
      <c r="C41" s="3" t="s">
        <v>2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>
        <f t="shared" si="10"/>
        <v>0</v>
      </c>
    </row>
    <row r="42" spans="1:19" x14ac:dyDescent="0.35">
      <c r="A42" s="64"/>
      <c r="B42" s="8">
        <v>44405</v>
      </c>
      <c r="C42" s="3" t="s">
        <v>3</v>
      </c>
      <c r="D42" s="28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>
        <f t="shared" si="10"/>
        <v>0</v>
      </c>
    </row>
    <row r="43" spans="1:19" x14ac:dyDescent="0.35">
      <c r="A43" s="64"/>
      <c r="B43" s="8">
        <v>44406</v>
      </c>
      <c r="C43" s="3" t="s">
        <v>4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>
        <f t="shared" si="10"/>
        <v>0</v>
      </c>
    </row>
    <row r="44" spans="1:19" ht="16.5" customHeight="1" x14ac:dyDescent="0.35">
      <c r="A44" s="64"/>
      <c r="B44" s="8">
        <v>44407</v>
      </c>
      <c r="C44" s="3" t="s">
        <v>5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>
        <f t="shared" si="10"/>
        <v>0</v>
      </c>
    </row>
    <row r="45" spans="1:19" x14ac:dyDescent="0.35">
      <c r="A45" s="64"/>
      <c r="B45" s="8">
        <v>44408</v>
      </c>
      <c r="C45" s="3" t="s">
        <v>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>
        <f t="shared" si="10"/>
        <v>0</v>
      </c>
    </row>
    <row r="46" spans="1:19" ht="15" thickBot="1" x14ac:dyDescent="0.4">
      <c r="A46" s="50"/>
      <c r="B46" s="8" t="s">
        <v>33</v>
      </c>
      <c r="C46" s="3" t="s">
        <v>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34">
        <f t="shared" si="10"/>
        <v>0</v>
      </c>
    </row>
    <row r="47" spans="1:19" ht="15" thickBot="1" x14ac:dyDescent="0.4">
      <c r="A47" s="50"/>
      <c r="C47" s="3" t="s">
        <v>13</v>
      </c>
      <c r="D47" s="14">
        <f t="shared" ref="D47:Q47" si="11">SUM(D40:D46)</f>
        <v>0</v>
      </c>
      <c r="E47" s="14">
        <f t="shared" si="11"/>
        <v>0</v>
      </c>
      <c r="F47" s="14">
        <f t="shared" si="11"/>
        <v>0</v>
      </c>
      <c r="G47" s="14">
        <f t="shared" si="11"/>
        <v>0</v>
      </c>
      <c r="H47" s="15">
        <f t="shared" si="11"/>
        <v>0</v>
      </c>
      <c r="I47" s="15">
        <f t="shared" si="11"/>
        <v>0</v>
      </c>
      <c r="J47" s="16">
        <f t="shared" si="11"/>
        <v>0</v>
      </c>
      <c r="K47" s="16">
        <f t="shared" si="11"/>
        <v>0</v>
      </c>
      <c r="L47" s="16">
        <f t="shared" si="11"/>
        <v>0</v>
      </c>
      <c r="M47" s="16">
        <f t="shared" si="11"/>
        <v>0</v>
      </c>
      <c r="N47" s="16">
        <f t="shared" si="11"/>
        <v>0</v>
      </c>
      <c r="O47" s="16">
        <f t="shared" si="11"/>
        <v>0</v>
      </c>
      <c r="P47" s="17">
        <f t="shared" si="11"/>
        <v>0</v>
      </c>
      <c r="Q47" s="17">
        <f t="shared" si="11"/>
        <v>0</v>
      </c>
      <c r="R47" s="24" t="s">
        <v>56</v>
      </c>
      <c r="S47" s="2" t="s">
        <v>28</v>
      </c>
    </row>
    <row r="48" spans="1:19" ht="15" thickBot="1" x14ac:dyDescent="0.4">
      <c r="C48" s="3"/>
      <c r="D48" s="54">
        <f>SUM(D47:G47)</f>
        <v>0</v>
      </c>
      <c r="E48" s="55"/>
      <c r="F48" s="55"/>
      <c r="G48" s="56"/>
      <c r="H48" s="57">
        <f>SUM(H47:I47)</f>
        <v>0</v>
      </c>
      <c r="I48" s="58"/>
      <c r="J48" s="59">
        <f>SUM(J47:O47)</f>
        <v>0</v>
      </c>
      <c r="K48" s="60"/>
      <c r="L48" s="60"/>
      <c r="M48" s="60"/>
      <c r="N48" s="60"/>
      <c r="O48" s="61"/>
      <c r="P48" s="62">
        <f>SUM(P47:Q47)</f>
        <v>0</v>
      </c>
      <c r="Q48" s="63"/>
      <c r="R48" s="9">
        <f t="shared" ref="R48:R55" si="12">SUM(D48:Q48)</f>
        <v>0</v>
      </c>
      <c r="S48" s="9">
        <f>S39-R48</f>
        <v>0</v>
      </c>
    </row>
    <row r="49" spans="1:19" ht="15.75" customHeight="1" x14ac:dyDescent="0.35">
      <c r="A49" s="64" t="s">
        <v>30</v>
      </c>
      <c r="C49" s="32" t="s">
        <v>1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33">
        <f t="shared" si="12"/>
        <v>0</v>
      </c>
    </row>
    <row r="50" spans="1:19" ht="15.75" customHeight="1" x14ac:dyDescent="0.35">
      <c r="A50" s="64"/>
      <c r="B50" s="8" t="s">
        <v>33</v>
      </c>
      <c r="C50" s="32" t="s">
        <v>2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>
        <f t="shared" si="12"/>
        <v>0</v>
      </c>
    </row>
    <row r="51" spans="1:19" ht="15.75" customHeight="1" x14ac:dyDescent="0.35">
      <c r="A51" s="64"/>
      <c r="B51" s="8" t="s">
        <v>33</v>
      </c>
      <c r="C51" s="32" t="s">
        <v>3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>
        <f t="shared" si="12"/>
        <v>0</v>
      </c>
    </row>
    <row r="52" spans="1:19" ht="15.75" customHeight="1" x14ac:dyDescent="0.35">
      <c r="A52" s="64"/>
      <c r="B52" s="8" t="s">
        <v>33</v>
      </c>
      <c r="C52" s="32" t="s">
        <v>4</v>
      </c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>
        <f t="shared" si="12"/>
        <v>0</v>
      </c>
    </row>
    <row r="53" spans="1:19" ht="15.75" customHeight="1" x14ac:dyDescent="0.35">
      <c r="A53" s="64"/>
      <c r="B53" s="8" t="s">
        <v>33</v>
      </c>
      <c r="C53" s="32" t="s">
        <v>5</v>
      </c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>
        <f t="shared" si="12"/>
        <v>0</v>
      </c>
    </row>
    <row r="54" spans="1:19" ht="15.75" customHeight="1" x14ac:dyDescent="0.35">
      <c r="A54" s="64"/>
      <c r="B54" s="8" t="s">
        <v>33</v>
      </c>
      <c r="C54" s="32" t="s">
        <v>6</v>
      </c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>
        <f t="shared" si="12"/>
        <v>0</v>
      </c>
    </row>
    <row r="55" spans="1:19" ht="15.75" customHeight="1" thickBot="1" x14ac:dyDescent="0.4">
      <c r="A55" s="64"/>
      <c r="B55" s="8" t="s">
        <v>33</v>
      </c>
      <c r="C55" s="32" t="s">
        <v>7</v>
      </c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0">
        <f t="shared" si="12"/>
        <v>0</v>
      </c>
    </row>
    <row r="56" spans="1:19" ht="15" thickBot="1" x14ac:dyDescent="0.4">
      <c r="A56" s="29"/>
      <c r="B56" s="8"/>
      <c r="C56" s="3" t="s">
        <v>13</v>
      </c>
      <c r="D56" s="39">
        <f t="shared" ref="D56:F56" si="13">SUM(D49:D55)</f>
        <v>0</v>
      </c>
      <c r="E56" s="39">
        <f t="shared" si="13"/>
        <v>0</v>
      </c>
      <c r="F56" s="39">
        <f t="shared" si="13"/>
        <v>0</v>
      </c>
      <c r="G56" s="39">
        <f>SUM(G49:G55)</f>
        <v>0</v>
      </c>
      <c r="H56" s="37">
        <f t="shared" ref="H56:Q56" si="14">SUM(H49:H55)</f>
        <v>0</v>
      </c>
      <c r="I56" s="37">
        <f t="shared" si="14"/>
        <v>0</v>
      </c>
      <c r="J56" s="38">
        <f t="shared" si="14"/>
        <v>0</v>
      </c>
      <c r="K56" s="38">
        <f t="shared" si="14"/>
        <v>0</v>
      </c>
      <c r="L56" s="38">
        <f t="shared" si="14"/>
        <v>0</v>
      </c>
      <c r="M56" s="38">
        <f t="shared" si="14"/>
        <v>0</v>
      </c>
      <c r="N56" s="38">
        <f t="shared" si="14"/>
        <v>0</v>
      </c>
      <c r="O56" s="38">
        <f t="shared" si="14"/>
        <v>0</v>
      </c>
      <c r="P56" s="40">
        <f t="shared" si="14"/>
        <v>0</v>
      </c>
      <c r="Q56" s="40">
        <f t="shared" si="14"/>
        <v>0</v>
      </c>
      <c r="R56" s="24" t="s">
        <v>56</v>
      </c>
      <c r="S56" s="2" t="s">
        <v>39</v>
      </c>
    </row>
    <row r="57" spans="1:19" ht="15" thickBot="1" x14ac:dyDescent="0.4">
      <c r="A57" s="29"/>
      <c r="C57" s="3"/>
      <c r="D57" s="54">
        <f>SUM(D56:G56)</f>
        <v>0</v>
      </c>
      <c r="E57" s="55"/>
      <c r="F57" s="55"/>
      <c r="G57" s="56"/>
      <c r="H57" s="57">
        <f>SUM(H56:I56)</f>
        <v>0</v>
      </c>
      <c r="I57" s="58"/>
      <c r="J57" s="59">
        <f>SUM(J56:O56)</f>
        <v>0</v>
      </c>
      <c r="K57" s="60"/>
      <c r="L57" s="60"/>
      <c r="M57" s="60"/>
      <c r="N57" s="60"/>
      <c r="O57" s="61"/>
      <c r="P57" s="62">
        <f>SUM(P56:Q56)</f>
        <v>0</v>
      </c>
      <c r="Q57" s="63"/>
      <c r="R57" s="9">
        <f>SUM(D57:Q57)</f>
        <v>0</v>
      </c>
      <c r="S57" s="9">
        <f>S48-R57</f>
        <v>0</v>
      </c>
    </row>
    <row r="58" spans="1:19" x14ac:dyDescent="0.35">
      <c r="A58" s="29"/>
    </row>
    <row r="59" spans="1:19" x14ac:dyDescent="0.35">
      <c r="A59" s="29"/>
      <c r="B59" t="s">
        <v>55</v>
      </c>
      <c r="D59" s="54">
        <f t="shared" ref="D59" si="15">D12+D21+D30+D39+D48+D57</f>
        <v>0</v>
      </c>
      <c r="E59" s="55"/>
      <c r="F59" s="55"/>
      <c r="G59" s="56"/>
      <c r="H59" s="57">
        <f t="shared" ref="H59" si="16">H12+H21+H30+H39+H48+H57</f>
        <v>0</v>
      </c>
      <c r="I59" s="58"/>
      <c r="J59" s="59">
        <f t="shared" ref="J59" si="17">J12+J21+J30+J39+J48+J57</f>
        <v>0</v>
      </c>
      <c r="K59" s="60"/>
      <c r="L59" s="60"/>
      <c r="M59" s="60"/>
      <c r="N59" s="60"/>
      <c r="O59" s="61"/>
      <c r="P59" s="62">
        <f t="shared" ref="P59" si="18">P12+P21+P30+P39+P48+P57</f>
        <v>0</v>
      </c>
      <c r="Q59" s="63"/>
      <c r="R59">
        <f>R12+R21+R30+R39+R48+R57</f>
        <v>0</v>
      </c>
    </row>
  </sheetData>
  <mergeCells count="42">
    <mergeCell ref="A1:P1"/>
    <mergeCell ref="D2:G2"/>
    <mergeCell ref="H2:I2"/>
    <mergeCell ref="J2:O2"/>
    <mergeCell ref="P2:Q2"/>
    <mergeCell ref="P21:Q21"/>
    <mergeCell ref="A23:A29"/>
    <mergeCell ref="U4:U11"/>
    <mergeCell ref="D12:G12"/>
    <mergeCell ref="H12:I12"/>
    <mergeCell ref="J12:O12"/>
    <mergeCell ref="P12:Q12"/>
    <mergeCell ref="U13:U21"/>
    <mergeCell ref="A4:A11"/>
    <mergeCell ref="A32:A38"/>
    <mergeCell ref="A14:A20"/>
    <mergeCell ref="D21:G21"/>
    <mergeCell ref="H21:I21"/>
    <mergeCell ref="J21:O21"/>
    <mergeCell ref="V23:W23"/>
    <mergeCell ref="D30:G30"/>
    <mergeCell ref="H30:I30"/>
    <mergeCell ref="J30:O30"/>
    <mergeCell ref="P30:Q30"/>
    <mergeCell ref="A41:A45"/>
    <mergeCell ref="D48:G48"/>
    <mergeCell ref="H48:I48"/>
    <mergeCell ref="J48:O48"/>
    <mergeCell ref="P48:Q48"/>
    <mergeCell ref="D59:G59"/>
    <mergeCell ref="H59:I59"/>
    <mergeCell ref="J59:O59"/>
    <mergeCell ref="P59:Q59"/>
    <mergeCell ref="D39:G39"/>
    <mergeCell ref="H39:I39"/>
    <mergeCell ref="J39:O39"/>
    <mergeCell ref="P39:Q39"/>
    <mergeCell ref="A49:A55"/>
    <mergeCell ref="D57:G57"/>
    <mergeCell ref="H57:I57"/>
    <mergeCell ref="J57:O57"/>
    <mergeCell ref="P57:Q57"/>
  </mergeCells>
  <conditionalFormatting sqref="Z6">
    <cfRule type="cellIs" dxfId="23" priority="1" operator="lessThan">
      <formula>-200</formula>
    </cfRule>
    <cfRule type="cellIs" dxfId="22" priority="2" operator="between">
      <formula>-200</formula>
      <formula>0</formula>
    </cfRule>
    <cfRule type="cellIs" dxfId="21" priority="3" operator="between">
      <formula>0</formula>
      <formula>200</formula>
    </cfRule>
    <cfRule type="cellIs" dxfId="20" priority="4" operator="greaterThan">
      <formula>200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73B6-8DCD-4F16-8EB2-A8F35CC1B43F}">
  <sheetPr codeName="Foglio8"/>
  <dimension ref="A1:AA59"/>
  <sheetViews>
    <sheetView zoomScale="55" zoomScaleNormal="5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X26" sqref="X26"/>
    </sheetView>
  </sheetViews>
  <sheetFormatPr defaultRowHeight="14.5" x14ac:dyDescent="0.35"/>
  <cols>
    <col min="1" max="1" width="3.7265625" bestFit="1" customWidth="1"/>
    <col min="2" max="2" width="12.453125" bestFit="1" customWidth="1"/>
    <col min="3" max="3" width="7.54296875" bestFit="1" customWidth="1"/>
    <col min="4" max="4" width="11" bestFit="1" customWidth="1"/>
    <col min="5" max="5" width="13.6328125" bestFit="1" customWidth="1"/>
    <col min="6" max="6" width="13.26953125" bestFit="1" customWidth="1"/>
    <col min="10" max="10" width="8.1796875" bestFit="1" customWidth="1"/>
    <col min="11" max="11" width="10" bestFit="1" customWidth="1"/>
    <col min="12" max="12" width="9.54296875" customWidth="1"/>
    <col min="14" max="14" width="9.453125" customWidth="1"/>
    <col min="18" max="18" width="17.90625" bestFit="1" customWidth="1"/>
    <col min="19" max="19" width="14.26953125" bestFit="1" customWidth="1"/>
    <col min="21" max="21" width="19.26953125" bestFit="1" customWidth="1"/>
    <col min="22" max="22" width="16.54296875" bestFit="1" customWidth="1"/>
    <col min="25" max="25" width="27.36328125" bestFit="1" customWidth="1"/>
    <col min="26" max="26" width="13.81640625" bestFit="1" customWidth="1"/>
    <col min="28" max="28" width="21.453125" bestFit="1" customWidth="1"/>
  </cols>
  <sheetData>
    <row r="1" spans="1:26" ht="26" x14ac:dyDescent="0.6">
      <c r="A1" s="74" t="str" cm="1">
        <f t="array" aca="1" ref="A1" ca="1">MID(CELL("nomefile",A1),FIND("]",CELL("nomefile",A1))+1,255)</f>
        <v>Agosto 2021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51"/>
    </row>
    <row r="2" spans="1:26" ht="15" customHeight="1" x14ac:dyDescent="0.35">
      <c r="D2" s="76" t="s">
        <v>44</v>
      </c>
      <c r="E2" s="76"/>
      <c r="F2" s="76"/>
      <c r="G2" s="76"/>
      <c r="H2" s="77" t="s">
        <v>45</v>
      </c>
      <c r="I2" s="77"/>
      <c r="J2" s="78" t="s">
        <v>48</v>
      </c>
      <c r="K2" s="78"/>
      <c r="L2" s="78"/>
      <c r="M2" s="78"/>
      <c r="N2" s="78"/>
      <c r="O2" s="78"/>
      <c r="P2" s="79" t="s">
        <v>8</v>
      </c>
      <c r="Q2" s="80"/>
      <c r="S2" s="1" t="s">
        <v>17</v>
      </c>
    </row>
    <row r="3" spans="1:26" ht="29.5" thickBot="1" x14ac:dyDescent="0.4">
      <c r="D3" s="19" t="s">
        <v>49</v>
      </c>
      <c r="E3" s="4" t="s">
        <v>54</v>
      </c>
      <c r="F3" s="19" t="s">
        <v>52</v>
      </c>
      <c r="G3" s="4" t="s">
        <v>0</v>
      </c>
      <c r="H3" s="5" t="s">
        <v>46</v>
      </c>
      <c r="I3" s="5" t="s">
        <v>47</v>
      </c>
      <c r="J3" s="6" t="s">
        <v>50</v>
      </c>
      <c r="K3" s="6" t="s">
        <v>11</v>
      </c>
      <c r="L3" s="6" t="s">
        <v>51</v>
      </c>
      <c r="M3" s="6" t="s">
        <v>12</v>
      </c>
      <c r="N3" s="6" t="s">
        <v>10</v>
      </c>
      <c r="O3" s="6" t="s">
        <v>0</v>
      </c>
      <c r="P3" s="7"/>
      <c r="Q3" s="7" t="s">
        <v>26</v>
      </c>
      <c r="R3" s="52" t="s">
        <v>25</v>
      </c>
      <c r="S3" s="2">
        <f>V23</f>
        <v>0</v>
      </c>
    </row>
    <row r="4" spans="1:26" ht="15" customHeight="1" x14ac:dyDescent="0.45">
      <c r="A4" s="64" t="s">
        <v>9</v>
      </c>
      <c r="B4" s="8" t="s">
        <v>33</v>
      </c>
      <c r="C4" s="3" t="s">
        <v>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21"/>
      <c r="R4" s="20">
        <f t="shared" ref="R4:R10" si="0">SUM(D4:Q4)</f>
        <v>0</v>
      </c>
      <c r="U4" s="67" t="s">
        <v>18</v>
      </c>
      <c r="V4" s="26" t="s">
        <v>27</v>
      </c>
      <c r="W4" s="10"/>
      <c r="Y4" s="48" t="s">
        <v>40</v>
      </c>
      <c r="Z4" s="48">
        <f>SUM(W13:W21)+R12+R21+R30+R39+R48+R57</f>
        <v>0</v>
      </c>
    </row>
    <row r="5" spans="1:26" ht="15" customHeight="1" x14ac:dyDescent="0.35">
      <c r="A5" s="64"/>
      <c r="B5" s="8" t="s">
        <v>33</v>
      </c>
      <c r="C5" s="3" t="s">
        <v>2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20"/>
      <c r="R5" s="20">
        <f t="shared" si="0"/>
        <v>0</v>
      </c>
      <c r="U5" s="68"/>
      <c r="V5" s="31"/>
      <c r="W5" s="11"/>
    </row>
    <row r="6" spans="1:26" ht="15" customHeight="1" x14ac:dyDescent="0.45">
      <c r="A6" s="64"/>
      <c r="B6" s="8" t="s">
        <v>33</v>
      </c>
      <c r="C6" s="3" t="s">
        <v>3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20">
        <f t="shared" si="0"/>
        <v>0</v>
      </c>
      <c r="U6" s="68"/>
      <c r="V6" s="31"/>
      <c r="W6" s="11"/>
      <c r="Y6" s="48" t="s">
        <v>42</v>
      </c>
      <c r="Z6" s="48">
        <f>W11-Z4</f>
        <v>0</v>
      </c>
    </row>
    <row r="7" spans="1:26" ht="15" customHeight="1" x14ac:dyDescent="0.35">
      <c r="A7" s="64"/>
      <c r="B7" s="8" t="s">
        <v>33</v>
      </c>
      <c r="C7" s="3" t="s">
        <v>4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20"/>
      <c r="R7" s="20">
        <f t="shared" si="0"/>
        <v>0</v>
      </c>
      <c r="U7" s="68"/>
      <c r="V7" s="31"/>
      <c r="W7" s="11"/>
    </row>
    <row r="8" spans="1:26" ht="15" customHeight="1" x14ac:dyDescent="0.35">
      <c r="A8" s="64"/>
      <c r="B8" s="8" t="s">
        <v>33</v>
      </c>
      <c r="C8" s="3" t="s">
        <v>5</v>
      </c>
      <c r="D8" s="18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>
        <f t="shared" si="0"/>
        <v>0</v>
      </c>
      <c r="U8" s="68"/>
      <c r="V8" s="31"/>
      <c r="W8" s="11"/>
    </row>
    <row r="9" spans="1:26" ht="15" customHeight="1" x14ac:dyDescent="0.35">
      <c r="A9" s="64"/>
      <c r="B9" s="8" t="s">
        <v>33</v>
      </c>
      <c r="C9" s="3" t="s">
        <v>6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20"/>
      <c r="R9" s="20">
        <f t="shared" si="0"/>
        <v>0</v>
      </c>
      <c r="U9" s="68"/>
      <c r="V9" s="31"/>
      <c r="W9" s="11"/>
    </row>
    <row r="10" spans="1:26" ht="15" customHeight="1" thickBot="1" x14ac:dyDescent="0.4">
      <c r="A10" s="64"/>
      <c r="B10" s="8">
        <v>44409</v>
      </c>
      <c r="C10" s="3" t="s">
        <v>7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22"/>
      <c r="R10" s="20">
        <f t="shared" si="0"/>
        <v>0</v>
      </c>
      <c r="U10" s="68"/>
      <c r="V10" s="31"/>
      <c r="W10" s="11"/>
    </row>
    <row r="11" spans="1:26" ht="15" thickBot="1" x14ac:dyDescent="0.4">
      <c r="A11" s="64"/>
      <c r="C11" s="3" t="s">
        <v>13</v>
      </c>
      <c r="D11" s="35">
        <f>SUM(D4:D10)</f>
        <v>0</v>
      </c>
      <c r="E11" s="36">
        <f t="shared" ref="E11:P11" si="1">SUM(E4:E10)</f>
        <v>0</v>
      </c>
      <c r="F11" s="36">
        <f t="shared" si="1"/>
        <v>0</v>
      </c>
      <c r="G11" s="36">
        <f t="shared" si="1"/>
        <v>0</v>
      </c>
      <c r="H11" s="37">
        <f t="shared" si="1"/>
        <v>0</v>
      </c>
      <c r="I11" s="37">
        <f t="shared" si="1"/>
        <v>0</v>
      </c>
      <c r="J11" s="38">
        <f t="shared" si="1"/>
        <v>0</v>
      </c>
      <c r="K11" s="38">
        <f t="shared" si="1"/>
        <v>0</v>
      </c>
      <c r="L11" s="38">
        <f t="shared" si="1"/>
        <v>0</v>
      </c>
      <c r="M11" s="38">
        <f t="shared" si="1"/>
        <v>0</v>
      </c>
      <c r="N11" s="38">
        <f t="shared" si="1"/>
        <v>0</v>
      </c>
      <c r="O11" s="38">
        <f t="shared" si="1"/>
        <v>0</v>
      </c>
      <c r="P11" s="23">
        <f t="shared" si="1"/>
        <v>0</v>
      </c>
      <c r="Q11" s="23">
        <f>SUM(Q4:Q10)</f>
        <v>0</v>
      </c>
      <c r="R11" s="24" t="s">
        <v>56</v>
      </c>
      <c r="S11" s="2" t="s">
        <v>21</v>
      </c>
      <c r="U11" s="69"/>
      <c r="V11" s="49" t="s">
        <v>13</v>
      </c>
      <c r="W11" s="9">
        <f>SUM(W4:W10)</f>
        <v>0</v>
      </c>
    </row>
    <row r="12" spans="1:26" ht="15" thickBot="1" x14ac:dyDescent="0.4">
      <c r="A12" s="29"/>
      <c r="C12" s="3"/>
      <c r="D12" s="70">
        <f>SUM(D11:G11)</f>
        <v>0</v>
      </c>
      <c r="E12" s="71"/>
      <c r="F12" s="71"/>
      <c r="G12" s="71"/>
      <c r="H12" s="72">
        <f>SUM(H11:I11)</f>
        <v>0</v>
      </c>
      <c r="I12" s="72"/>
      <c r="J12" s="73">
        <f>SUM(J11:O11)</f>
        <v>0</v>
      </c>
      <c r="K12" s="73"/>
      <c r="L12" s="73"/>
      <c r="M12" s="73"/>
      <c r="N12" s="73"/>
      <c r="O12" s="73"/>
      <c r="P12" s="62">
        <f>SUM(P11:Q11)</f>
        <v>0</v>
      </c>
      <c r="Q12" s="63"/>
      <c r="R12" s="9">
        <f t="shared" ref="R12:R19" si="2">SUM(D12:Q12)</f>
        <v>0</v>
      </c>
      <c r="S12" s="9">
        <f>$S$3-R12</f>
        <v>0</v>
      </c>
      <c r="U12" s="1"/>
      <c r="V12" s="1"/>
    </row>
    <row r="13" spans="1:26" x14ac:dyDescent="0.35">
      <c r="A13" s="29"/>
      <c r="B13" s="8">
        <v>44410</v>
      </c>
      <c r="C13" s="3" t="s">
        <v>1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0"/>
      <c r="Q13" s="21"/>
      <c r="R13" s="33">
        <f t="shared" si="2"/>
        <v>0</v>
      </c>
      <c r="U13" s="67" t="s">
        <v>19</v>
      </c>
      <c r="V13" s="26" t="s">
        <v>20</v>
      </c>
      <c r="W13" s="10"/>
    </row>
    <row r="14" spans="1:26" x14ac:dyDescent="0.35">
      <c r="A14" s="64" t="s">
        <v>14</v>
      </c>
      <c r="B14" s="8">
        <v>44411</v>
      </c>
      <c r="C14" s="3" t="s">
        <v>2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>
        <f t="shared" si="2"/>
        <v>0</v>
      </c>
      <c r="U14" s="68"/>
      <c r="V14" s="31" t="s">
        <v>35</v>
      </c>
      <c r="W14" s="11"/>
    </row>
    <row r="15" spans="1:26" x14ac:dyDescent="0.35">
      <c r="A15" s="64"/>
      <c r="B15" s="8">
        <v>44412</v>
      </c>
      <c r="C15" s="3" t="s">
        <v>3</v>
      </c>
      <c r="D15" s="20"/>
      <c r="E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>
        <f t="shared" si="2"/>
        <v>0</v>
      </c>
      <c r="U15" s="68"/>
      <c r="V15" s="31" t="s">
        <v>37</v>
      </c>
      <c r="W15" s="11"/>
    </row>
    <row r="16" spans="1:26" ht="15.75" customHeight="1" x14ac:dyDescent="0.35">
      <c r="A16" s="64"/>
      <c r="B16" s="8">
        <v>44413</v>
      </c>
      <c r="C16" s="3" t="s">
        <v>4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>
        <f t="shared" si="2"/>
        <v>0</v>
      </c>
      <c r="U16" s="68"/>
      <c r="V16" s="31" t="s">
        <v>38</v>
      </c>
      <c r="W16" s="11"/>
    </row>
    <row r="17" spans="1:27" x14ac:dyDescent="0.35">
      <c r="A17" s="64"/>
      <c r="B17" s="8">
        <v>44414</v>
      </c>
      <c r="C17" s="3" t="s">
        <v>5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>
        <f t="shared" si="2"/>
        <v>0</v>
      </c>
      <c r="U17" s="68"/>
      <c r="V17" s="31" t="s">
        <v>36</v>
      </c>
      <c r="W17" s="11"/>
    </row>
    <row r="18" spans="1:27" x14ac:dyDescent="0.35">
      <c r="A18" s="64"/>
      <c r="B18" s="8">
        <v>44415</v>
      </c>
      <c r="C18" s="3" t="s">
        <v>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>
        <f t="shared" si="2"/>
        <v>0</v>
      </c>
      <c r="U18" s="68"/>
      <c r="V18" s="31"/>
      <c r="W18" s="11"/>
      <c r="X18" s="13"/>
    </row>
    <row r="19" spans="1:27" ht="15.75" customHeight="1" thickBot="1" x14ac:dyDescent="0.4">
      <c r="A19" s="64"/>
      <c r="B19" s="8">
        <v>44416</v>
      </c>
      <c r="C19" s="3" t="s">
        <v>7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34">
        <f t="shared" si="2"/>
        <v>0</v>
      </c>
      <c r="U19" s="68"/>
      <c r="V19" s="45"/>
      <c r="W19" s="11"/>
      <c r="X19" s="13"/>
    </row>
    <row r="20" spans="1:27" ht="15" thickBot="1" x14ac:dyDescent="0.4">
      <c r="A20" s="64"/>
      <c r="C20" s="3" t="s">
        <v>13</v>
      </c>
      <c r="D20" s="14">
        <f t="shared" ref="D20:Q20" si="3">SUM(D13:D19)</f>
        <v>0</v>
      </c>
      <c r="E20" s="14">
        <f t="shared" si="3"/>
        <v>0</v>
      </c>
      <c r="F20" s="14">
        <f t="shared" si="3"/>
        <v>0</v>
      </c>
      <c r="G20" s="14">
        <f t="shared" si="3"/>
        <v>0</v>
      </c>
      <c r="H20" s="15">
        <f t="shared" si="3"/>
        <v>0</v>
      </c>
      <c r="I20" s="15">
        <f t="shared" si="3"/>
        <v>0</v>
      </c>
      <c r="J20" s="16">
        <f t="shared" si="3"/>
        <v>0</v>
      </c>
      <c r="K20" s="16">
        <f t="shared" si="3"/>
        <v>0</v>
      </c>
      <c r="L20" s="16">
        <f t="shared" si="3"/>
        <v>0</v>
      </c>
      <c r="M20" s="16">
        <f t="shared" si="3"/>
        <v>0</v>
      </c>
      <c r="N20" s="16">
        <f t="shared" si="3"/>
        <v>0</v>
      </c>
      <c r="O20" s="16">
        <f t="shared" si="3"/>
        <v>0</v>
      </c>
      <c r="P20" s="25">
        <f t="shared" si="3"/>
        <v>0</v>
      </c>
      <c r="Q20" s="25">
        <f t="shared" si="3"/>
        <v>0</v>
      </c>
      <c r="R20" s="24" t="s">
        <v>56</v>
      </c>
      <c r="S20" s="2" t="s">
        <v>22</v>
      </c>
      <c r="U20" s="68"/>
      <c r="V20" s="45"/>
      <c r="W20" s="11"/>
    </row>
    <row r="21" spans="1:27" ht="15" thickBot="1" x14ac:dyDescent="0.4">
      <c r="A21" s="29"/>
      <c r="C21" s="3"/>
      <c r="D21" s="71">
        <f>SUM(D20:G20)</f>
        <v>0</v>
      </c>
      <c r="E21" s="71"/>
      <c r="F21" s="71"/>
      <c r="G21" s="71"/>
      <c r="H21" s="72">
        <f>SUM(H20:I20)</f>
        <v>0</v>
      </c>
      <c r="I21" s="72"/>
      <c r="J21" s="73">
        <f>SUM(J20:O20)</f>
        <v>0</v>
      </c>
      <c r="K21" s="73"/>
      <c r="L21" s="73"/>
      <c r="M21" s="73"/>
      <c r="N21" s="73"/>
      <c r="O21" s="73"/>
      <c r="P21" s="62">
        <f>SUM(P20:Q20)</f>
        <v>0</v>
      </c>
      <c r="Q21" s="63"/>
      <c r="R21" s="9">
        <f t="shared" ref="R21:R28" si="4">SUM(D21:Q21)</f>
        <v>0</v>
      </c>
      <c r="S21" s="9">
        <f>S12-R21</f>
        <v>0</v>
      </c>
      <c r="U21" s="69"/>
      <c r="V21" s="46"/>
      <c r="W21" s="47"/>
      <c r="X21" s="13"/>
    </row>
    <row r="22" spans="1:27" ht="15" thickBot="1" x14ac:dyDescent="0.4">
      <c r="A22" s="29"/>
      <c r="B22" s="8">
        <v>44417</v>
      </c>
      <c r="C22" s="3" t="s">
        <v>1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0"/>
      <c r="Q22" s="21"/>
      <c r="R22" s="33">
        <f t="shared" si="4"/>
        <v>0</v>
      </c>
      <c r="Z22" t="s">
        <v>44</v>
      </c>
      <c r="AA22">
        <f>D59</f>
        <v>0</v>
      </c>
    </row>
    <row r="23" spans="1:27" ht="15" thickBot="1" x14ac:dyDescent="0.4">
      <c r="A23" s="64" t="s">
        <v>15</v>
      </c>
      <c r="B23" s="8">
        <v>44418</v>
      </c>
      <c r="C23" s="3" t="s">
        <v>2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>
        <f t="shared" si="4"/>
        <v>0</v>
      </c>
      <c r="U23" s="12" t="s">
        <v>17</v>
      </c>
      <c r="V23" s="65">
        <f t="shared" ref="V23" si="5">W11-SUM(W13:W21)</f>
        <v>0</v>
      </c>
      <c r="W23" s="66"/>
      <c r="Z23" t="s">
        <v>45</v>
      </c>
      <c r="AA23">
        <f>H59</f>
        <v>0</v>
      </c>
    </row>
    <row r="24" spans="1:27" x14ac:dyDescent="0.35">
      <c r="A24" s="64"/>
      <c r="B24" s="8">
        <v>44419</v>
      </c>
      <c r="C24" s="3" t="s">
        <v>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>
        <f t="shared" si="4"/>
        <v>0</v>
      </c>
      <c r="Z24" t="s">
        <v>48</v>
      </c>
      <c r="AA24">
        <f>J59</f>
        <v>0</v>
      </c>
    </row>
    <row r="25" spans="1:27" x14ac:dyDescent="0.35">
      <c r="A25" s="64"/>
      <c r="B25" s="8">
        <v>44420</v>
      </c>
      <c r="C25" s="3" t="s">
        <v>4</v>
      </c>
      <c r="D25" s="20"/>
      <c r="E25" s="20"/>
      <c r="F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>
        <f t="shared" si="4"/>
        <v>0</v>
      </c>
      <c r="U25">
        <f>S3-S48</f>
        <v>0</v>
      </c>
      <c r="Z25" t="s">
        <v>53</v>
      </c>
      <c r="AA25">
        <f>P59</f>
        <v>0</v>
      </c>
    </row>
    <row r="26" spans="1:27" x14ac:dyDescent="0.35">
      <c r="A26" s="64"/>
      <c r="B26" s="8">
        <v>44421</v>
      </c>
      <c r="C26" s="3" t="s">
        <v>5</v>
      </c>
      <c r="D26" s="20"/>
      <c r="E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>
        <f t="shared" si="4"/>
        <v>0</v>
      </c>
      <c r="Z26" t="s">
        <v>83</v>
      </c>
      <c r="AA26">
        <f>W13</f>
        <v>0</v>
      </c>
    </row>
    <row r="27" spans="1:27" x14ac:dyDescent="0.35">
      <c r="A27" s="64"/>
      <c r="B27" s="8">
        <v>44422</v>
      </c>
      <c r="C27" s="3" t="s">
        <v>6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>
        <f t="shared" si="4"/>
        <v>0</v>
      </c>
      <c r="Z27" t="s">
        <v>84</v>
      </c>
      <c r="AA27">
        <f>SUM(W14:W17)</f>
        <v>0</v>
      </c>
    </row>
    <row r="28" spans="1:27" ht="15" customHeight="1" thickBot="1" x14ac:dyDescent="0.4">
      <c r="A28" s="64"/>
      <c r="B28" s="8">
        <v>44423</v>
      </c>
      <c r="C28" s="3" t="s">
        <v>7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34">
        <f t="shared" si="4"/>
        <v>0</v>
      </c>
    </row>
    <row r="29" spans="1:27" ht="15" thickBot="1" x14ac:dyDescent="0.4">
      <c r="A29" s="64"/>
      <c r="C29" s="3" t="s">
        <v>13</v>
      </c>
      <c r="D29" s="14">
        <f t="shared" ref="D29:Q29" si="6">SUM(D22:D28)</f>
        <v>0</v>
      </c>
      <c r="E29" s="14">
        <f>SUM(E22:E28)</f>
        <v>0</v>
      </c>
      <c r="F29" s="14">
        <f t="shared" si="6"/>
        <v>0</v>
      </c>
      <c r="G29" s="14">
        <f t="shared" si="6"/>
        <v>0</v>
      </c>
      <c r="H29" s="15">
        <f t="shared" si="6"/>
        <v>0</v>
      </c>
      <c r="I29" s="15">
        <f t="shared" si="6"/>
        <v>0</v>
      </c>
      <c r="J29" s="16">
        <f t="shared" si="6"/>
        <v>0</v>
      </c>
      <c r="K29" s="16">
        <f t="shared" si="6"/>
        <v>0</v>
      </c>
      <c r="L29" s="16">
        <f t="shared" si="6"/>
        <v>0</v>
      </c>
      <c r="M29" s="16">
        <f t="shared" si="6"/>
        <v>0</v>
      </c>
      <c r="N29" s="16">
        <f t="shared" si="6"/>
        <v>0</v>
      </c>
      <c r="O29" s="16">
        <f t="shared" si="6"/>
        <v>0</v>
      </c>
      <c r="P29" s="23">
        <f t="shared" si="6"/>
        <v>0</v>
      </c>
      <c r="Q29" s="23">
        <f t="shared" si="6"/>
        <v>0</v>
      </c>
      <c r="R29" s="24" t="s">
        <v>56</v>
      </c>
      <c r="S29" s="2" t="s">
        <v>23</v>
      </c>
    </row>
    <row r="30" spans="1:27" ht="15" thickBot="1" x14ac:dyDescent="0.4">
      <c r="A30" s="29"/>
      <c r="C30" s="3"/>
      <c r="D30" s="54">
        <f>SUM(D29:G29)</f>
        <v>0</v>
      </c>
      <c r="E30" s="55"/>
      <c r="F30" s="55"/>
      <c r="G30" s="56"/>
      <c r="H30" s="57">
        <f>SUM(H29:I29)</f>
        <v>0</v>
      </c>
      <c r="I30" s="58"/>
      <c r="J30" s="59">
        <f>SUM(J29:O29)</f>
        <v>0</v>
      </c>
      <c r="K30" s="60"/>
      <c r="L30" s="60"/>
      <c r="M30" s="60"/>
      <c r="N30" s="60"/>
      <c r="O30" s="61"/>
      <c r="P30" s="62">
        <f>SUM(P29:Q29)</f>
        <v>0</v>
      </c>
      <c r="Q30" s="63"/>
      <c r="R30" s="9">
        <f t="shared" ref="R30:R37" si="7">SUM(D30:Q30)</f>
        <v>0</v>
      </c>
      <c r="S30" s="9">
        <f>S21-R30</f>
        <v>0</v>
      </c>
    </row>
    <row r="31" spans="1:27" x14ac:dyDescent="0.35">
      <c r="A31" s="29"/>
      <c r="B31" s="8">
        <v>44424</v>
      </c>
      <c r="C31" s="3" t="s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0"/>
      <c r="Q31" s="21"/>
      <c r="R31" s="33">
        <f t="shared" si="7"/>
        <v>0</v>
      </c>
    </row>
    <row r="32" spans="1:27" x14ac:dyDescent="0.35">
      <c r="A32" s="64" t="s">
        <v>16</v>
      </c>
      <c r="B32" s="8">
        <v>44425</v>
      </c>
      <c r="C32" s="3" t="s">
        <v>2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>
        <f t="shared" si="7"/>
        <v>0</v>
      </c>
    </row>
    <row r="33" spans="1:19" x14ac:dyDescent="0.35">
      <c r="A33" s="64"/>
      <c r="B33" s="8">
        <v>44426</v>
      </c>
      <c r="C33" s="3" t="s">
        <v>3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>
        <f t="shared" si="7"/>
        <v>0</v>
      </c>
    </row>
    <row r="34" spans="1:19" x14ac:dyDescent="0.35">
      <c r="A34" s="64"/>
      <c r="B34" s="8">
        <v>44427</v>
      </c>
      <c r="C34" s="3" t="s">
        <v>4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>
        <f t="shared" si="7"/>
        <v>0</v>
      </c>
    </row>
    <row r="35" spans="1:19" x14ac:dyDescent="0.35">
      <c r="A35" s="64"/>
      <c r="B35" s="8">
        <v>44428</v>
      </c>
      <c r="C35" s="3" t="s">
        <v>5</v>
      </c>
      <c r="D35" s="20"/>
      <c r="F35" s="20"/>
      <c r="G35" s="20"/>
      <c r="H35" s="20"/>
      <c r="J35" s="20"/>
      <c r="K35" s="20"/>
      <c r="L35" s="20"/>
      <c r="N35" s="20"/>
      <c r="O35" s="20"/>
      <c r="P35" s="20"/>
      <c r="Q35" s="20"/>
      <c r="R35" s="20">
        <f t="shared" si="7"/>
        <v>0</v>
      </c>
    </row>
    <row r="36" spans="1:19" x14ac:dyDescent="0.35">
      <c r="A36" s="64"/>
      <c r="B36" s="8">
        <v>44429</v>
      </c>
      <c r="C36" s="3" t="s">
        <v>6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>
        <f t="shared" si="7"/>
        <v>0</v>
      </c>
    </row>
    <row r="37" spans="1:19" ht="15" customHeight="1" thickBot="1" x14ac:dyDescent="0.4">
      <c r="A37" s="64"/>
      <c r="B37" s="8">
        <v>44430</v>
      </c>
      <c r="C37" s="3" t="s">
        <v>7</v>
      </c>
      <c r="D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34">
        <f t="shared" si="7"/>
        <v>0</v>
      </c>
    </row>
    <row r="38" spans="1:19" ht="15" thickBot="1" x14ac:dyDescent="0.4">
      <c r="A38" s="64"/>
      <c r="C38" s="3" t="s">
        <v>13</v>
      </c>
      <c r="D38" s="14">
        <f>SUM(D31:D37)</f>
        <v>0</v>
      </c>
      <c r="E38" s="14">
        <f t="shared" ref="E38:Q38" si="8">SUM(E31:E37)</f>
        <v>0</v>
      </c>
      <c r="F38" s="14">
        <f t="shared" si="8"/>
        <v>0</v>
      </c>
      <c r="G38" s="14">
        <f t="shared" si="8"/>
        <v>0</v>
      </c>
      <c r="H38" s="15">
        <f t="shared" si="8"/>
        <v>0</v>
      </c>
      <c r="I38" s="15">
        <f t="shared" si="8"/>
        <v>0</v>
      </c>
      <c r="J38" s="16">
        <f t="shared" si="8"/>
        <v>0</v>
      </c>
      <c r="K38" s="16">
        <f t="shared" si="8"/>
        <v>0</v>
      </c>
      <c r="L38" s="16">
        <f t="shared" si="8"/>
        <v>0</v>
      </c>
      <c r="M38" s="16">
        <f t="shared" si="8"/>
        <v>0</v>
      </c>
      <c r="N38" s="16">
        <f t="shared" si="8"/>
        <v>0</v>
      </c>
      <c r="O38" s="16">
        <f t="shared" si="8"/>
        <v>0</v>
      </c>
      <c r="P38" s="25">
        <f t="shared" si="8"/>
        <v>0</v>
      </c>
      <c r="Q38" s="25">
        <f t="shared" si="8"/>
        <v>0</v>
      </c>
      <c r="R38" s="24" t="s">
        <v>56</v>
      </c>
      <c r="S38" s="2" t="s">
        <v>24</v>
      </c>
    </row>
    <row r="39" spans="1:19" ht="15" thickBot="1" x14ac:dyDescent="0.4">
      <c r="A39" s="29"/>
      <c r="C39" s="3"/>
      <c r="D39" s="54">
        <f t="shared" ref="D39" si="9">SUM(D38:G38)</f>
        <v>0</v>
      </c>
      <c r="E39" s="55"/>
      <c r="F39" s="55"/>
      <c r="G39" s="56"/>
      <c r="H39" s="57">
        <f>SUM(H38:I38)</f>
        <v>0</v>
      </c>
      <c r="I39" s="58"/>
      <c r="J39" s="59">
        <f>SUM(J38:O38)</f>
        <v>0</v>
      </c>
      <c r="K39" s="60"/>
      <c r="L39" s="60"/>
      <c r="M39" s="60"/>
      <c r="N39" s="60"/>
      <c r="O39" s="61"/>
      <c r="P39" s="62">
        <f>SUM(P38:Q38)</f>
        <v>0</v>
      </c>
      <c r="Q39" s="63"/>
      <c r="R39" s="9">
        <f t="shared" ref="R39:R46" si="10">SUM(D39:Q39)</f>
        <v>0</v>
      </c>
      <c r="S39" s="9">
        <f>S30-R39</f>
        <v>0</v>
      </c>
    </row>
    <row r="40" spans="1:19" x14ac:dyDescent="0.35">
      <c r="A40" s="29"/>
      <c r="B40" s="8">
        <v>44431</v>
      </c>
      <c r="C40" s="3" t="s">
        <v>1</v>
      </c>
      <c r="D40" s="27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33">
        <f t="shared" si="10"/>
        <v>0</v>
      </c>
    </row>
    <row r="41" spans="1:19" ht="15" customHeight="1" x14ac:dyDescent="0.35">
      <c r="A41" s="64" t="s">
        <v>29</v>
      </c>
      <c r="B41" s="8">
        <v>44432</v>
      </c>
      <c r="C41" s="3" t="s">
        <v>2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>
        <f t="shared" si="10"/>
        <v>0</v>
      </c>
    </row>
    <row r="42" spans="1:19" x14ac:dyDescent="0.35">
      <c r="A42" s="64"/>
      <c r="B42" s="8">
        <v>44433</v>
      </c>
      <c r="C42" s="3" t="s">
        <v>3</v>
      </c>
      <c r="D42" s="28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>
        <f t="shared" si="10"/>
        <v>0</v>
      </c>
    </row>
    <row r="43" spans="1:19" x14ac:dyDescent="0.35">
      <c r="A43" s="64"/>
      <c r="B43" s="8">
        <v>44434</v>
      </c>
      <c r="C43" s="3" t="s">
        <v>4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>
        <f t="shared" si="10"/>
        <v>0</v>
      </c>
    </row>
    <row r="44" spans="1:19" ht="16.5" customHeight="1" x14ac:dyDescent="0.35">
      <c r="A44" s="64"/>
      <c r="B44" s="8">
        <v>44435</v>
      </c>
      <c r="C44" s="3" t="s">
        <v>5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>
        <f t="shared" si="10"/>
        <v>0</v>
      </c>
    </row>
    <row r="45" spans="1:19" x14ac:dyDescent="0.35">
      <c r="A45" s="64"/>
      <c r="B45" s="8">
        <v>44436</v>
      </c>
      <c r="C45" s="3" t="s">
        <v>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>
        <f t="shared" si="10"/>
        <v>0</v>
      </c>
    </row>
    <row r="46" spans="1:19" ht="15" thickBot="1" x14ac:dyDescent="0.4">
      <c r="A46" s="50"/>
      <c r="B46" s="8">
        <v>44437</v>
      </c>
      <c r="C46" s="3" t="s">
        <v>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34">
        <f t="shared" si="10"/>
        <v>0</v>
      </c>
    </row>
    <row r="47" spans="1:19" ht="15" thickBot="1" x14ac:dyDescent="0.4">
      <c r="A47" s="50"/>
      <c r="C47" s="3" t="s">
        <v>13</v>
      </c>
      <c r="D47" s="14">
        <f t="shared" ref="D47:Q47" si="11">SUM(D40:D46)</f>
        <v>0</v>
      </c>
      <c r="E47" s="14">
        <f t="shared" si="11"/>
        <v>0</v>
      </c>
      <c r="F47" s="14">
        <f t="shared" si="11"/>
        <v>0</v>
      </c>
      <c r="G47" s="14">
        <f t="shared" si="11"/>
        <v>0</v>
      </c>
      <c r="H47" s="15">
        <f t="shared" si="11"/>
        <v>0</v>
      </c>
      <c r="I47" s="15">
        <f t="shared" si="11"/>
        <v>0</v>
      </c>
      <c r="J47" s="16">
        <f t="shared" si="11"/>
        <v>0</v>
      </c>
      <c r="K47" s="16">
        <f t="shared" si="11"/>
        <v>0</v>
      </c>
      <c r="L47" s="16">
        <f t="shared" si="11"/>
        <v>0</v>
      </c>
      <c r="M47" s="16">
        <f t="shared" si="11"/>
        <v>0</v>
      </c>
      <c r="N47" s="16">
        <f t="shared" si="11"/>
        <v>0</v>
      </c>
      <c r="O47" s="16">
        <f t="shared" si="11"/>
        <v>0</v>
      </c>
      <c r="P47" s="17">
        <f t="shared" si="11"/>
        <v>0</v>
      </c>
      <c r="Q47" s="17">
        <f t="shared" si="11"/>
        <v>0</v>
      </c>
      <c r="R47" s="24" t="s">
        <v>56</v>
      </c>
      <c r="S47" s="2" t="s">
        <v>28</v>
      </c>
    </row>
    <row r="48" spans="1:19" ht="15" thickBot="1" x14ac:dyDescent="0.4">
      <c r="C48" s="3"/>
      <c r="D48" s="54">
        <f>SUM(D47:G47)</f>
        <v>0</v>
      </c>
      <c r="E48" s="55"/>
      <c r="F48" s="55"/>
      <c r="G48" s="56"/>
      <c r="H48" s="57">
        <f>SUM(H47:I47)</f>
        <v>0</v>
      </c>
      <c r="I48" s="58"/>
      <c r="J48" s="59">
        <f>SUM(J47:O47)</f>
        <v>0</v>
      </c>
      <c r="K48" s="60"/>
      <c r="L48" s="60"/>
      <c r="M48" s="60"/>
      <c r="N48" s="60"/>
      <c r="O48" s="61"/>
      <c r="P48" s="62">
        <f>SUM(P47:Q47)</f>
        <v>0</v>
      </c>
      <c r="Q48" s="63"/>
      <c r="R48" s="9">
        <f t="shared" ref="R48:R55" si="12">SUM(D48:Q48)</f>
        <v>0</v>
      </c>
      <c r="S48" s="9">
        <f>S39-R48</f>
        <v>0</v>
      </c>
    </row>
    <row r="49" spans="1:19" ht="15.75" customHeight="1" x14ac:dyDescent="0.35">
      <c r="A49" s="64" t="s">
        <v>30</v>
      </c>
      <c r="B49" s="8">
        <v>44438</v>
      </c>
      <c r="C49" s="32" t="s">
        <v>1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33">
        <f t="shared" si="12"/>
        <v>0</v>
      </c>
    </row>
    <row r="50" spans="1:19" ht="15.75" customHeight="1" x14ac:dyDescent="0.35">
      <c r="A50" s="64"/>
      <c r="B50" s="8">
        <v>44439</v>
      </c>
      <c r="C50" s="32" t="s">
        <v>2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>
        <f t="shared" si="12"/>
        <v>0</v>
      </c>
    </row>
    <row r="51" spans="1:19" ht="15.75" customHeight="1" x14ac:dyDescent="0.35">
      <c r="A51" s="64"/>
      <c r="B51" s="8" t="s">
        <v>33</v>
      </c>
      <c r="C51" s="32" t="s">
        <v>3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>
        <f t="shared" si="12"/>
        <v>0</v>
      </c>
    </row>
    <row r="52" spans="1:19" ht="15.75" customHeight="1" x14ac:dyDescent="0.35">
      <c r="A52" s="64"/>
      <c r="B52" s="8" t="s">
        <v>33</v>
      </c>
      <c r="C52" s="32" t="s">
        <v>4</v>
      </c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>
        <f t="shared" si="12"/>
        <v>0</v>
      </c>
    </row>
    <row r="53" spans="1:19" ht="15.75" customHeight="1" x14ac:dyDescent="0.35">
      <c r="A53" s="64"/>
      <c r="B53" s="8" t="s">
        <v>33</v>
      </c>
      <c r="C53" s="32" t="s">
        <v>5</v>
      </c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>
        <f t="shared" si="12"/>
        <v>0</v>
      </c>
    </row>
    <row r="54" spans="1:19" ht="15.75" customHeight="1" x14ac:dyDescent="0.35">
      <c r="A54" s="64"/>
      <c r="B54" s="8" t="s">
        <v>33</v>
      </c>
      <c r="C54" s="32" t="s">
        <v>6</v>
      </c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>
        <f t="shared" si="12"/>
        <v>0</v>
      </c>
    </row>
    <row r="55" spans="1:19" ht="15.75" customHeight="1" thickBot="1" x14ac:dyDescent="0.4">
      <c r="A55" s="64"/>
      <c r="B55" s="8" t="s">
        <v>33</v>
      </c>
      <c r="C55" s="32" t="s">
        <v>7</v>
      </c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0">
        <f t="shared" si="12"/>
        <v>0</v>
      </c>
    </row>
    <row r="56" spans="1:19" ht="15" thickBot="1" x14ac:dyDescent="0.4">
      <c r="A56" s="29"/>
      <c r="B56" s="8"/>
      <c r="C56" s="3" t="s">
        <v>13</v>
      </c>
      <c r="D56" s="39">
        <f t="shared" ref="D56:F56" si="13">SUM(D49:D55)</f>
        <v>0</v>
      </c>
      <c r="E56" s="39">
        <f t="shared" si="13"/>
        <v>0</v>
      </c>
      <c r="F56" s="39">
        <f t="shared" si="13"/>
        <v>0</v>
      </c>
      <c r="G56" s="39">
        <f>SUM(G49:G55)</f>
        <v>0</v>
      </c>
      <c r="H56" s="37">
        <f t="shared" ref="H56:Q56" si="14">SUM(H49:H55)</f>
        <v>0</v>
      </c>
      <c r="I56" s="37">
        <f t="shared" si="14"/>
        <v>0</v>
      </c>
      <c r="J56" s="38">
        <f t="shared" si="14"/>
        <v>0</v>
      </c>
      <c r="K56" s="38">
        <f t="shared" si="14"/>
        <v>0</v>
      </c>
      <c r="L56" s="38">
        <f t="shared" si="14"/>
        <v>0</v>
      </c>
      <c r="M56" s="38">
        <f t="shared" si="14"/>
        <v>0</v>
      </c>
      <c r="N56" s="38">
        <f t="shared" si="14"/>
        <v>0</v>
      </c>
      <c r="O56" s="38">
        <f t="shared" si="14"/>
        <v>0</v>
      </c>
      <c r="P56" s="40">
        <f t="shared" si="14"/>
        <v>0</v>
      </c>
      <c r="Q56" s="40">
        <f t="shared" si="14"/>
        <v>0</v>
      </c>
      <c r="R56" s="24" t="s">
        <v>56</v>
      </c>
      <c r="S56" s="2" t="s">
        <v>39</v>
      </c>
    </row>
    <row r="57" spans="1:19" ht="15" thickBot="1" x14ac:dyDescent="0.4">
      <c r="A57" s="29"/>
      <c r="C57" s="3"/>
      <c r="D57" s="54">
        <f>SUM(D56:G56)</f>
        <v>0</v>
      </c>
      <c r="E57" s="55"/>
      <c r="F57" s="55"/>
      <c r="G57" s="56"/>
      <c r="H57" s="57">
        <f>SUM(H56:I56)</f>
        <v>0</v>
      </c>
      <c r="I57" s="58"/>
      <c r="J57" s="59">
        <f>SUM(J56:O56)</f>
        <v>0</v>
      </c>
      <c r="K57" s="60"/>
      <c r="L57" s="60"/>
      <c r="M57" s="60"/>
      <c r="N57" s="60"/>
      <c r="O57" s="61"/>
      <c r="P57" s="62">
        <f>SUM(P56:Q56)</f>
        <v>0</v>
      </c>
      <c r="Q57" s="63"/>
      <c r="R57" s="9">
        <f>SUM(D57:Q57)</f>
        <v>0</v>
      </c>
      <c r="S57" s="9">
        <f>S48-R57</f>
        <v>0</v>
      </c>
    </row>
    <row r="58" spans="1:19" x14ac:dyDescent="0.35">
      <c r="A58" s="29"/>
    </row>
    <row r="59" spans="1:19" x14ac:dyDescent="0.35">
      <c r="A59" s="29"/>
      <c r="B59" t="s">
        <v>55</v>
      </c>
      <c r="D59" s="54">
        <f t="shared" ref="D59" si="15">D12+D21+D30+D39+D48+D57</f>
        <v>0</v>
      </c>
      <c r="E59" s="55"/>
      <c r="F59" s="55"/>
      <c r="G59" s="56"/>
      <c r="H59" s="57">
        <f t="shared" ref="H59" si="16">H12+H21+H30+H39+H48+H57</f>
        <v>0</v>
      </c>
      <c r="I59" s="58"/>
      <c r="J59" s="59">
        <f t="shared" ref="J59" si="17">J12+J21+J30+J39+J48+J57</f>
        <v>0</v>
      </c>
      <c r="K59" s="60"/>
      <c r="L59" s="60"/>
      <c r="M59" s="60"/>
      <c r="N59" s="60"/>
      <c r="O59" s="61"/>
      <c r="P59" s="62">
        <f t="shared" ref="P59" si="18">P12+P21+P30+P39+P48+P57</f>
        <v>0</v>
      </c>
      <c r="Q59" s="63"/>
      <c r="R59">
        <f>R12+R21+R30+R39+R48+R57</f>
        <v>0</v>
      </c>
    </row>
  </sheetData>
  <mergeCells count="42">
    <mergeCell ref="A1:P1"/>
    <mergeCell ref="D2:G2"/>
    <mergeCell ref="H2:I2"/>
    <mergeCell ref="J2:O2"/>
    <mergeCell ref="P2:Q2"/>
    <mergeCell ref="P21:Q21"/>
    <mergeCell ref="A23:A29"/>
    <mergeCell ref="U4:U11"/>
    <mergeCell ref="D12:G12"/>
    <mergeCell ref="H12:I12"/>
    <mergeCell ref="J12:O12"/>
    <mergeCell ref="P12:Q12"/>
    <mergeCell ref="U13:U21"/>
    <mergeCell ref="A4:A11"/>
    <mergeCell ref="A32:A38"/>
    <mergeCell ref="A14:A20"/>
    <mergeCell ref="D21:G21"/>
    <mergeCell ref="H21:I21"/>
    <mergeCell ref="J21:O21"/>
    <mergeCell ref="V23:W23"/>
    <mergeCell ref="D30:G30"/>
    <mergeCell ref="H30:I30"/>
    <mergeCell ref="J30:O30"/>
    <mergeCell ref="P30:Q30"/>
    <mergeCell ref="A41:A45"/>
    <mergeCell ref="D48:G48"/>
    <mergeCell ref="H48:I48"/>
    <mergeCell ref="J48:O48"/>
    <mergeCell ref="P48:Q48"/>
    <mergeCell ref="D59:G59"/>
    <mergeCell ref="H59:I59"/>
    <mergeCell ref="J59:O59"/>
    <mergeCell ref="P59:Q59"/>
    <mergeCell ref="D39:G39"/>
    <mergeCell ref="H39:I39"/>
    <mergeCell ref="J39:O39"/>
    <mergeCell ref="P39:Q39"/>
    <mergeCell ref="A49:A55"/>
    <mergeCell ref="D57:G57"/>
    <mergeCell ref="H57:I57"/>
    <mergeCell ref="J57:O57"/>
    <mergeCell ref="P57:Q57"/>
  </mergeCells>
  <conditionalFormatting sqref="Z6">
    <cfRule type="cellIs" dxfId="19" priority="1" operator="lessThan">
      <formula>-200</formula>
    </cfRule>
    <cfRule type="cellIs" dxfId="18" priority="2" operator="between">
      <formula>-200</formula>
      <formula>0</formula>
    </cfRule>
    <cfRule type="cellIs" dxfId="17" priority="3" operator="between">
      <formula>0</formula>
      <formula>200</formula>
    </cfRule>
    <cfRule type="cellIs" dxfId="16" priority="4" operator="greaterThan">
      <formula>200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EAFAA-6908-4285-AA4E-473E2B0187EB}">
  <sheetPr codeName="Foglio9"/>
  <dimension ref="A1:AA59"/>
  <sheetViews>
    <sheetView zoomScale="55" zoomScaleNormal="55" workbookViewId="0">
      <pane xSplit="3" ySplit="3" topLeftCell="D13" activePane="bottomRight" state="frozen"/>
      <selection pane="topRight" activeCell="D1" sqref="D1"/>
      <selection pane="bottomLeft" activeCell="A4" sqref="A4"/>
      <selection pane="bottomRight" activeCell="E16" sqref="E16:E18"/>
    </sheetView>
  </sheetViews>
  <sheetFormatPr defaultRowHeight="14.5" x14ac:dyDescent="0.35"/>
  <cols>
    <col min="1" max="1" width="3.7265625" bestFit="1" customWidth="1"/>
    <col min="2" max="2" width="12.453125" bestFit="1" customWidth="1"/>
    <col min="3" max="3" width="7.54296875" bestFit="1" customWidth="1"/>
    <col min="4" max="4" width="11" bestFit="1" customWidth="1"/>
    <col min="5" max="5" width="13.6328125" bestFit="1" customWidth="1"/>
    <col min="6" max="6" width="13.26953125" bestFit="1" customWidth="1"/>
    <col min="10" max="10" width="8.1796875" bestFit="1" customWidth="1"/>
    <col min="11" max="11" width="10" bestFit="1" customWidth="1"/>
    <col min="12" max="12" width="9.54296875" customWidth="1"/>
    <col min="14" max="14" width="9.453125" customWidth="1"/>
    <col min="18" max="18" width="17.90625" bestFit="1" customWidth="1"/>
    <col min="19" max="19" width="14.26953125" bestFit="1" customWidth="1"/>
    <col min="21" max="21" width="19.26953125" bestFit="1" customWidth="1"/>
    <col min="22" max="22" width="16.54296875" bestFit="1" customWidth="1"/>
    <col min="25" max="25" width="27.36328125" bestFit="1" customWidth="1"/>
    <col min="26" max="26" width="13.81640625" bestFit="1" customWidth="1"/>
    <col min="28" max="28" width="21.453125" bestFit="1" customWidth="1"/>
  </cols>
  <sheetData>
    <row r="1" spans="1:26" ht="26" x14ac:dyDescent="0.6">
      <c r="A1" s="74" t="str" cm="1">
        <f t="array" aca="1" ref="A1" ca="1">MID(CELL("nomefile",A1),FIND("]",CELL("nomefile",A1))+1,255)</f>
        <v>Settembre 2021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51"/>
    </row>
    <row r="2" spans="1:26" ht="15" customHeight="1" x14ac:dyDescent="0.35">
      <c r="D2" s="76" t="s">
        <v>44</v>
      </c>
      <c r="E2" s="76"/>
      <c r="F2" s="76"/>
      <c r="G2" s="76"/>
      <c r="H2" s="77" t="s">
        <v>45</v>
      </c>
      <c r="I2" s="77"/>
      <c r="J2" s="78" t="s">
        <v>48</v>
      </c>
      <c r="K2" s="78"/>
      <c r="L2" s="78"/>
      <c r="M2" s="78"/>
      <c r="N2" s="78"/>
      <c r="O2" s="78"/>
      <c r="P2" s="79" t="s">
        <v>8</v>
      </c>
      <c r="Q2" s="80"/>
      <c r="S2" s="1" t="s">
        <v>17</v>
      </c>
    </row>
    <row r="3" spans="1:26" ht="29.5" thickBot="1" x14ac:dyDescent="0.4">
      <c r="D3" s="19" t="s">
        <v>49</v>
      </c>
      <c r="E3" s="4" t="s">
        <v>54</v>
      </c>
      <c r="F3" s="19" t="s">
        <v>52</v>
      </c>
      <c r="G3" s="4" t="s">
        <v>0</v>
      </c>
      <c r="H3" s="5" t="s">
        <v>46</v>
      </c>
      <c r="I3" s="5" t="s">
        <v>47</v>
      </c>
      <c r="J3" s="6" t="s">
        <v>50</v>
      </c>
      <c r="K3" s="6" t="s">
        <v>11</v>
      </c>
      <c r="L3" s="6" t="s">
        <v>51</v>
      </c>
      <c r="M3" s="6" t="s">
        <v>12</v>
      </c>
      <c r="N3" s="6" t="s">
        <v>10</v>
      </c>
      <c r="O3" s="6" t="s">
        <v>0</v>
      </c>
      <c r="P3" s="7"/>
      <c r="Q3" s="7" t="s">
        <v>26</v>
      </c>
      <c r="R3" s="52" t="s">
        <v>25</v>
      </c>
      <c r="S3" s="2">
        <f>V23</f>
        <v>0</v>
      </c>
    </row>
    <row r="4" spans="1:26" ht="15" customHeight="1" x14ac:dyDescent="0.45">
      <c r="A4" s="64" t="s">
        <v>9</v>
      </c>
      <c r="B4" s="8" t="s">
        <v>33</v>
      </c>
      <c r="C4" s="3" t="s">
        <v>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21"/>
      <c r="R4" s="20">
        <f t="shared" ref="R4:R10" si="0">SUM(D4:Q4)</f>
        <v>0</v>
      </c>
      <c r="U4" s="67" t="s">
        <v>18</v>
      </c>
      <c r="V4" s="26" t="s">
        <v>27</v>
      </c>
      <c r="W4" s="10"/>
      <c r="Y4" s="48" t="s">
        <v>40</v>
      </c>
      <c r="Z4" s="48">
        <f>SUM(W13:W21)+R12+R21+R30+R39+R48+R57</f>
        <v>0</v>
      </c>
    </row>
    <row r="5" spans="1:26" ht="15" customHeight="1" x14ac:dyDescent="0.35">
      <c r="A5" s="64"/>
      <c r="B5" s="8" t="s">
        <v>33</v>
      </c>
      <c r="C5" s="3" t="s">
        <v>2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20"/>
      <c r="R5" s="20">
        <f t="shared" si="0"/>
        <v>0</v>
      </c>
      <c r="U5" s="68"/>
      <c r="V5" s="31"/>
      <c r="W5" s="11"/>
    </row>
    <row r="6" spans="1:26" ht="15" customHeight="1" x14ac:dyDescent="0.45">
      <c r="A6" s="64"/>
      <c r="B6" s="8">
        <v>44440</v>
      </c>
      <c r="C6" s="3" t="s">
        <v>3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20">
        <f t="shared" si="0"/>
        <v>0</v>
      </c>
      <c r="U6" s="68"/>
      <c r="V6" s="31"/>
      <c r="W6" s="11"/>
      <c r="Y6" s="48" t="s">
        <v>42</v>
      </c>
      <c r="Z6" s="48">
        <f>W11-Z4</f>
        <v>0</v>
      </c>
    </row>
    <row r="7" spans="1:26" ht="15" customHeight="1" x14ac:dyDescent="0.35">
      <c r="A7" s="64"/>
      <c r="B7" s="8">
        <v>44441</v>
      </c>
      <c r="C7" s="3" t="s">
        <v>4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20"/>
      <c r="R7" s="20">
        <f t="shared" si="0"/>
        <v>0</v>
      </c>
      <c r="U7" s="68"/>
      <c r="V7" s="31"/>
      <c r="W7" s="11"/>
    </row>
    <row r="8" spans="1:26" ht="15" customHeight="1" x14ac:dyDescent="0.35">
      <c r="A8" s="64"/>
      <c r="B8" s="8">
        <v>44442</v>
      </c>
      <c r="C8" s="3" t="s">
        <v>5</v>
      </c>
      <c r="D8" s="18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>
        <f t="shared" si="0"/>
        <v>0</v>
      </c>
      <c r="U8" s="68"/>
      <c r="V8" s="31"/>
      <c r="W8" s="11"/>
    </row>
    <row r="9" spans="1:26" ht="15" customHeight="1" x14ac:dyDescent="0.35">
      <c r="A9" s="64"/>
      <c r="B9" s="8">
        <v>44443</v>
      </c>
      <c r="C9" s="3" t="s">
        <v>6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20"/>
      <c r="R9" s="20">
        <f t="shared" si="0"/>
        <v>0</v>
      </c>
      <c r="U9" s="68"/>
      <c r="V9" s="31"/>
      <c r="W9" s="11"/>
    </row>
    <row r="10" spans="1:26" ht="15" customHeight="1" thickBot="1" x14ac:dyDescent="0.4">
      <c r="A10" s="64"/>
      <c r="B10" s="8">
        <v>44444</v>
      </c>
      <c r="C10" s="3" t="s">
        <v>7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22"/>
      <c r="R10" s="20">
        <f t="shared" si="0"/>
        <v>0</v>
      </c>
      <c r="U10" s="68"/>
      <c r="V10" s="31"/>
      <c r="W10" s="11"/>
    </row>
    <row r="11" spans="1:26" ht="15" thickBot="1" x14ac:dyDescent="0.4">
      <c r="A11" s="64"/>
      <c r="C11" s="3" t="s">
        <v>13</v>
      </c>
      <c r="D11" s="35">
        <f>SUM(D4:D10)</f>
        <v>0</v>
      </c>
      <c r="E11" s="36">
        <f t="shared" ref="E11:P11" si="1">SUM(E4:E10)</f>
        <v>0</v>
      </c>
      <c r="F11" s="36">
        <f t="shared" si="1"/>
        <v>0</v>
      </c>
      <c r="G11" s="36">
        <f t="shared" si="1"/>
        <v>0</v>
      </c>
      <c r="H11" s="37">
        <f t="shared" si="1"/>
        <v>0</v>
      </c>
      <c r="I11" s="37">
        <f t="shared" si="1"/>
        <v>0</v>
      </c>
      <c r="J11" s="38">
        <f t="shared" si="1"/>
        <v>0</v>
      </c>
      <c r="K11" s="38">
        <f t="shared" si="1"/>
        <v>0</v>
      </c>
      <c r="L11" s="38">
        <f t="shared" si="1"/>
        <v>0</v>
      </c>
      <c r="M11" s="38">
        <f t="shared" si="1"/>
        <v>0</v>
      </c>
      <c r="N11" s="38">
        <f t="shared" si="1"/>
        <v>0</v>
      </c>
      <c r="O11" s="38">
        <f t="shared" si="1"/>
        <v>0</v>
      </c>
      <c r="P11" s="23">
        <f t="shared" si="1"/>
        <v>0</v>
      </c>
      <c r="Q11" s="23">
        <f>SUM(Q4:Q10)</f>
        <v>0</v>
      </c>
      <c r="R11" s="24" t="s">
        <v>56</v>
      </c>
      <c r="S11" s="2" t="s">
        <v>21</v>
      </c>
      <c r="U11" s="69"/>
      <c r="V11" s="49" t="s">
        <v>13</v>
      </c>
      <c r="W11" s="9">
        <f>SUM(W4:W10)</f>
        <v>0</v>
      </c>
    </row>
    <row r="12" spans="1:26" ht="15" thickBot="1" x14ac:dyDescent="0.4">
      <c r="A12" s="29"/>
      <c r="C12" s="3"/>
      <c r="D12" s="70">
        <f>SUM(D11:G11)</f>
        <v>0</v>
      </c>
      <c r="E12" s="71"/>
      <c r="F12" s="71"/>
      <c r="G12" s="71"/>
      <c r="H12" s="72">
        <f>SUM(H11:I11)</f>
        <v>0</v>
      </c>
      <c r="I12" s="72"/>
      <c r="J12" s="73">
        <f>SUM(J11:O11)</f>
        <v>0</v>
      </c>
      <c r="K12" s="73"/>
      <c r="L12" s="73"/>
      <c r="M12" s="73"/>
      <c r="N12" s="73"/>
      <c r="O12" s="73"/>
      <c r="P12" s="62">
        <f>SUM(P11:Q11)</f>
        <v>0</v>
      </c>
      <c r="Q12" s="63"/>
      <c r="R12" s="9">
        <f t="shared" ref="R12:R19" si="2">SUM(D12:Q12)</f>
        <v>0</v>
      </c>
      <c r="S12" s="9">
        <f>$S$3-R12</f>
        <v>0</v>
      </c>
      <c r="U12" s="1"/>
      <c r="V12" s="1"/>
    </row>
    <row r="13" spans="1:26" x14ac:dyDescent="0.35">
      <c r="A13" s="29"/>
      <c r="B13" s="8">
        <v>44445</v>
      </c>
      <c r="C13" s="3" t="s">
        <v>1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0"/>
      <c r="Q13" s="21"/>
      <c r="R13" s="33">
        <f t="shared" si="2"/>
        <v>0</v>
      </c>
      <c r="U13" s="67" t="s">
        <v>19</v>
      </c>
      <c r="V13" s="26" t="s">
        <v>20</v>
      </c>
      <c r="W13" s="10"/>
    </row>
    <row r="14" spans="1:26" x14ac:dyDescent="0.35">
      <c r="A14" s="64" t="s">
        <v>14</v>
      </c>
      <c r="B14" s="8">
        <v>44446</v>
      </c>
      <c r="C14" s="3" t="s">
        <v>2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>
        <f t="shared" si="2"/>
        <v>0</v>
      </c>
      <c r="U14" s="68"/>
      <c r="V14" s="31" t="s">
        <v>35</v>
      </c>
      <c r="W14" s="11"/>
    </row>
    <row r="15" spans="1:26" x14ac:dyDescent="0.35">
      <c r="A15" s="64"/>
      <c r="B15" s="8">
        <v>44447</v>
      </c>
      <c r="C15" s="3" t="s">
        <v>3</v>
      </c>
      <c r="D15" s="20"/>
      <c r="E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>
        <f t="shared" si="2"/>
        <v>0</v>
      </c>
      <c r="U15" s="68"/>
      <c r="V15" s="31" t="s">
        <v>37</v>
      </c>
      <c r="W15" s="11"/>
    </row>
    <row r="16" spans="1:26" ht="15.75" customHeight="1" x14ac:dyDescent="0.35">
      <c r="A16" s="64"/>
      <c r="B16" s="8">
        <v>44448</v>
      </c>
      <c r="C16" s="3" t="s">
        <v>4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>
        <f t="shared" si="2"/>
        <v>0</v>
      </c>
      <c r="U16" s="68"/>
      <c r="V16" s="31" t="s">
        <v>38</v>
      </c>
      <c r="W16" s="11"/>
    </row>
    <row r="17" spans="1:27" x14ac:dyDescent="0.35">
      <c r="A17" s="64"/>
      <c r="B17" s="8">
        <v>44449</v>
      </c>
      <c r="C17" s="3" t="s">
        <v>5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>
        <f t="shared" si="2"/>
        <v>0</v>
      </c>
      <c r="U17" s="68"/>
      <c r="V17" s="31" t="s">
        <v>36</v>
      </c>
      <c r="W17" s="11"/>
    </row>
    <row r="18" spans="1:27" x14ac:dyDescent="0.35">
      <c r="A18" s="64"/>
      <c r="B18" s="8">
        <v>44450</v>
      </c>
      <c r="C18" s="3" t="s">
        <v>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>
        <f t="shared" si="2"/>
        <v>0</v>
      </c>
      <c r="U18" s="68"/>
      <c r="V18" s="31"/>
      <c r="W18" s="11"/>
      <c r="X18" s="13"/>
    </row>
    <row r="19" spans="1:27" ht="15.75" customHeight="1" thickBot="1" x14ac:dyDescent="0.4">
      <c r="A19" s="64"/>
      <c r="B19" s="8">
        <v>44451</v>
      </c>
      <c r="C19" s="3" t="s">
        <v>7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34">
        <f t="shared" si="2"/>
        <v>0</v>
      </c>
      <c r="U19" s="68"/>
      <c r="V19" s="45"/>
      <c r="W19" s="11"/>
      <c r="X19" s="13"/>
    </row>
    <row r="20" spans="1:27" ht="15" thickBot="1" x14ac:dyDescent="0.4">
      <c r="A20" s="64"/>
      <c r="C20" s="3" t="s">
        <v>13</v>
      </c>
      <c r="D20" s="14">
        <f t="shared" ref="D20:Q20" si="3">SUM(D13:D19)</f>
        <v>0</v>
      </c>
      <c r="E20" s="14">
        <f t="shared" si="3"/>
        <v>0</v>
      </c>
      <c r="F20" s="14">
        <f t="shared" si="3"/>
        <v>0</v>
      </c>
      <c r="G20" s="14">
        <f t="shared" si="3"/>
        <v>0</v>
      </c>
      <c r="H20" s="15">
        <f t="shared" si="3"/>
        <v>0</v>
      </c>
      <c r="I20" s="15">
        <f t="shared" si="3"/>
        <v>0</v>
      </c>
      <c r="J20" s="16">
        <f t="shared" si="3"/>
        <v>0</v>
      </c>
      <c r="K20" s="16">
        <f t="shared" si="3"/>
        <v>0</v>
      </c>
      <c r="L20" s="16">
        <f t="shared" si="3"/>
        <v>0</v>
      </c>
      <c r="M20" s="16">
        <f t="shared" si="3"/>
        <v>0</v>
      </c>
      <c r="N20" s="16">
        <f t="shared" si="3"/>
        <v>0</v>
      </c>
      <c r="O20" s="16">
        <f t="shared" si="3"/>
        <v>0</v>
      </c>
      <c r="P20" s="25">
        <f t="shared" si="3"/>
        <v>0</v>
      </c>
      <c r="Q20" s="25">
        <f t="shared" si="3"/>
        <v>0</v>
      </c>
      <c r="R20" s="24" t="s">
        <v>56</v>
      </c>
      <c r="S20" s="2" t="s">
        <v>22</v>
      </c>
      <c r="U20" s="68"/>
      <c r="V20" s="45"/>
      <c r="W20" s="11"/>
    </row>
    <row r="21" spans="1:27" ht="15" thickBot="1" x14ac:dyDescent="0.4">
      <c r="A21" s="29"/>
      <c r="C21" s="3"/>
      <c r="D21" s="71">
        <f>SUM(D20:G20)</f>
        <v>0</v>
      </c>
      <c r="E21" s="71"/>
      <c r="F21" s="71"/>
      <c r="G21" s="71"/>
      <c r="H21" s="72">
        <f>SUM(H20:I20)</f>
        <v>0</v>
      </c>
      <c r="I21" s="72"/>
      <c r="J21" s="73">
        <f>SUM(J20:O20)</f>
        <v>0</v>
      </c>
      <c r="K21" s="73"/>
      <c r="L21" s="73"/>
      <c r="M21" s="73"/>
      <c r="N21" s="73"/>
      <c r="O21" s="73"/>
      <c r="P21" s="62">
        <f>SUM(P20:Q20)</f>
        <v>0</v>
      </c>
      <c r="Q21" s="63"/>
      <c r="R21" s="9">
        <f t="shared" ref="R21:R28" si="4">SUM(D21:Q21)</f>
        <v>0</v>
      </c>
      <c r="S21" s="9">
        <f>S12-R21</f>
        <v>0</v>
      </c>
      <c r="U21" s="69"/>
      <c r="V21" s="46"/>
      <c r="W21" s="47"/>
      <c r="X21" s="13"/>
    </row>
    <row r="22" spans="1:27" ht="15" thickBot="1" x14ac:dyDescent="0.4">
      <c r="A22" s="29"/>
      <c r="B22" s="8">
        <v>44452</v>
      </c>
      <c r="C22" s="3" t="s">
        <v>1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0"/>
      <c r="Q22" s="21"/>
      <c r="R22" s="33">
        <f t="shared" si="4"/>
        <v>0</v>
      </c>
      <c r="Z22" t="s">
        <v>44</v>
      </c>
      <c r="AA22">
        <f>D59</f>
        <v>0</v>
      </c>
    </row>
    <row r="23" spans="1:27" ht="15" thickBot="1" x14ac:dyDescent="0.4">
      <c r="A23" s="64" t="s">
        <v>15</v>
      </c>
      <c r="B23" s="8">
        <v>44453</v>
      </c>
      <c r="C23" s="3" t="s">
        <v>2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>
        <f t="shared" si="4"/>
        <v>0</v>
      </c>
      <c r="U23" s="12" t="s">
        <v>17</v>
      </c>
      <c r="V23" s="65">
        <f t="shared" ref="V23" si="5">W11-SUM(W13:W21)</f>
        <v>0</v>
      </c>
      <c r="W23" s="66"/>
      <c r="Z23" t="s">
        <v>45</v>
      </c>
      <c r="AA23">
        <f>H59</f>
        <v>0</v>
      </c>
    </row>
    <row r="24" spans="1:27" x14ac:dyDescent="0.35">
      <c r="A24" s="64"/>
      <c r="B24" s="8">
        <v>44454</v>
      </c>
      <c r="C24" s="3" t="s">
        <v>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>
        <f t="shared" si="4"/>
        <v>0</v>
      </c>
      <c r="Z24" t="s">
        <v>48</v>
      </c>
      <c r="AA24">
        <f>J59</f>
        <v>0</v>
      </c>
    </row>
    <row r="25" spans="1:27" x14ac:dyDescent="0.35">
      <c r="A25" s="64"/>
      <c r="B25" s="8">
        <v>44455</v>
      </c>
      <c r="C25" s="3" t="s">
        <v>4</v>
      </c>
      <c r="D25" s="20"/>
      <c r="E25" s="20"/>
      <c r="F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>
        <f t="shared" si="4"/>
        <v>0</v>
      </c>
      <c r="U25">
        <f>S3-S48</f>
        <v>0</v>
      </c>
      <c r="Z25" t="s">
        <v>53</v>
      </c>
      <c r="AA25">
        <f>P59</f>
        <v>0</v>
      </c>
    </row>
    <row r="26" spans="1:27" x14ac:dyDescent="0.35">
      <c r="A26" s="64"/>
      <c r="B26" s="8">
        <v>44456</v>
      </c>
      <c r="C26" s="3" t="s">
        <v>5</v>
      </c>
      <c r="D26" s="20"/>
      <c r="E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>
        <f t="shared" si="4"/>
        <v>0</v>
      </c>
      <c r="Z26" t="s">
        <v>83</v>
      </c>
      <c r="AA26">
        <f>W13</f>
        <v>0</v>
      </c>
    </row>
    <row r="27" spans="1:27" x14ac:dyDescent="0.35">
      <c r="A27" s="64"/>
      <c r="B27" s="8">
        <v>44457</v>
      </c>
      <c r="C27" s="3" t="s">
        <v>6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>
        <f t="shared" si="4"/>
        <v>0</v>
      </c>
      <c r="Z27" t="s">
        <v>84</v>
      </c>
      <c r="AA27">
        <f>SUM(W14:W17)</f>
        <v>0</v>
      </c>
    </row>
    <row r="28" spans="1:27" ht="15" customHeight="1" thickBot="1" x14ac:dyDescent="0.4">
      <c r="A28" s="64"/>
      <c r="B28" s="8">
        <v>44458</v>
      </c>
      <c r="C28" s="3" t="s">
        <v>7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34">
        <f t="shared" si="4"/>
        <v>0</v>
      </c>
    </row>
    <row r="29" spans="1:27" ht="15" thickBot="1" x14ac:dyDescent="0.4">
      <c r="A29" s="64"/>
      <c r="C29" s="3" t="s">
        <v>13</v>
      </c>
      <c r="D29" s="14">
        <f t="shared" ref="D29:Q29" si="6">SUM(D22:D28)</f>
        <v>0</v>
      </c>
      <c r="E29" s="14">
        <f>SUM(E22:E28)</f>
        <v>0</v>
      </c>
      <c r="F29" s="14">
        <f t="shared" si="6"/>
        <v>0</v>
      </c>
      <c r="G29" s="14">
        <f t="shared" si="6"/>
        <v>0</v>
      </c>
      <c r="H29" s="15">
        <f t="shared" si="6"/>
        <v>0</v>
      </c>
      <c r="I29" s="15">
        <f t="shared" si="6"/>
        <v>0</v>
      </c>
      <c r="J29" s="16">
        <f t="shared" si="6"/>
        <v>0</v>
      </c>
      <c r="K29" s="16">
        <f t="shared" si="6"/>
        <v>0</v>
      </c>
      <c r="L29" s="16">
        <f t="shared" si="6"/>
        <v>0</v>
      </c>
      <c r="M29" s="16">
        <f t="shared" si="6"/>
        <v>0</v>
      </c>
      <c r="N29" s="16">
        <f t="shared" si="6"/>
        <v>0</v>
      </c>
      <c r="O29" s="16">
        <f t="shared" si="6"/>
        <v>0</v>
      </c>
      <c r="P29" s="23">
        <f t="shared" si="6"/>
        <v>0</v>
      </c>
      <c r="Q29" s="23">
        <f t="shared" si="6"/>
        <v>0</v>
      </c>
      <c r="R29" s="24" t="s">
        <v>56</v>
      </c>
      <c r="S29" s="2" t="s">
        <v>23</v>
      </c>
    </row>
    <row r="30" spans="1:27" ht="15" thickBot="1" x14ac:dyDescent="0.4">
      <c r="A30" s="29"/>
      <c r="C30" s="3"/>
      <c r="D30" s="54">
        <f>SUM(D29:G29)</f>
        <v>0</v>
      </c>
      <c r="E30" s="55"/>
      <c r="F30" s="55"/>
      <c r="G30" s="56"/>
      <c r="H30" s="57">
        <f>SUM(H29:I29)</f>
        <v>0</v>
      </c>
      <c r="I30" s="58"/>
      <c r="J30" s="59">
        <f>SUM(J29:O29)</f>
        <v>0</v>
      </c>
      <c r="K30" s="60"/>
      <c r="L30" s="60"/>
      <c r="M30" s="60"/>
      <c r="N30" s="60"/>
      <c r="O30" s="61"/>
      <c r="P30" s="62">
        <f>SUM(P29:Q29)</f>
        <v>0</v>
      </c>
      <c r="Q30" s="63"/>
      <c r="R30" s="9">
        <f t="shared" ref="R30:R37" si="7">SUM(D30:Q30)</f>
        <v>0</v>
      </c>
      <c r="S30" s="9">
        <f>S21-R30</f>
        <v>0</v>
      </c>
    </row>
    <row r="31" spans="1:27" x14ac:dyDescent="0.35">
      <c r="A31" s="29"/>
      <c r="B31" s="8">
        <v>44459</v>
      </c>
      <c r="C31" s="3" t="s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0"/>
      <c r="Q31" s="21"/>
      <c r="R31" s="33">
        <f t="shared" si="7"/>
        <v>0</v>
      </c>
    </row>
    <row r="32" spans="1:27" x14ac:dyDescent="0.35">
      <c r="A32" s="64" t="s">
        <v>16</v>
      </c>
      <c r="B32" s="8">
        <v>44460</v>
      </c>
      <c r="C32" s="3" t="s">
        <v>2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>
        <f t="shared" si="7"/>
        <v>0</v>
      </c>
    </row>
    <row r="33" spans="1:19" x14ac:dyDescent="0.35">
      <c r="A33" s="64"/>
      <c r="B33" s="8">
        <v>44461</v>
      </c>
      <c r="C33" s="3" t="s">
        <v>3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>
        <f t="shared" si="7"/>
        <v>0</v>
      </c>
    </row>
    <row r="34" spans="1:19" x14ac:dyDescent="0.35">
      <c r="A34" s="64"/>
      <c r="B34" s="8">
        <v>44462</v>
      </c>
      <c r="C34" s="3" t="s">
        <v>4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>
        <f t="shared" si="7"/>
        <v>0</v>
      </c>
    </row>
    <row r="35" spans="1:19" x14ac:dyDescent="0.35">
      <c r="A35" s="64"/>
      <c r="B35" s="8">
        <v>44463</v>
      </c>
      <c r="C35" s="3" t="s">
        <v>5</v>
      </c>
      <c r="D35" s="20"/>
      <c r="F35" s="20"/>
      <c r="G35" s="20"/>
      <c r="H35" s="20"/>
      <c r="J35" s="20"/>
      <c r="K35" s="20"/>
      <c r="L35" s="20"/>
      <c r="N35" s="20"/>
      <c r="O35" s="20"/>
      <c r="P35" s="20"/>
      <c r="Q35" s="20"/>
      <c r="R35" s="20">
        <f t="shared" si="7"/>
        <v>0</v>
      </c>
    </row>
    <row r="36" spans="1:19" x14ac:dyDescent="0.35">
      <c r="A36" s="64"/>
      <c r="B36" s="8">
        <v>44464</v>
      </c>
      <c r="C36" s="3" t="s">
        <v>6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>
        <f t="shared" si="7"/>
        <v>0</v>
      </c>
    </row>
    <row r="37" spans="1:19" ht="15" customHeight="1" thickBot="1" x14ac:dyDescent="0.4">
      <c r="A37" s="64"/>
      <c r="B37" s="8">
        <v>44465</v>
      </c>
      <c r="C37" s="3" t="s">
        <v>7</v>
      </c>
      <c r="D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34">
        <f t="shared" si="7"/>
        <v>0</v>
      </c>
    </row>
    <row r="38" spans="1:19" ht="15" thickBot="1" x14ac:dyDescent="0.4">
      <c r="A38" s="64"/>
      <c r="C38" s="3" t="s">
        <v>13</v>
      </c>
      <c r="D38" s="14">
        <f>SUM(D31:D37)</f>
        <v>0</v>
      </c>
      <c r="E38" s="14">
        <f t="shared" ref="E38:Q38" si="8">SUM(E31:E37)</f>
        <v>0</v>
      </c>
      <c r="F38" s="14">
        <f t="shared" si="8"/>
        <v>0</v>
      </c>
      <c r="G38" s="14">
        <f t="shared" si="8"/>
        <v>0</v>
      </c>
      <c r="H38" s="15">
        <f t="shared" si="8"/>
        <v>0</v>
      </c>
      <c r="I38" s="15">
        <f t="shared" si="8"/>
        <v>0</v>
      </c>
      <c r="J38" s="16">
        <f t="shared" si="8"/>
        <v>0</v>
      </c>
      <c r="K38" s="16">
        <f t="shared" si="8"/>
        <v>0</v>
      </c>
      <c r="L38" s="16">
        <f t="shared" si="8"/>
        <v>0</v>
      </c>
      <c r="M38" s="16">
        <f t="shared" si="8"/>
        <v>0</v>
      </c>
      <c r="N38" s="16">
        <f t="shared" si="8"/>
        <v>0</v>
      </c>
      <c r="O38" s="16">
        <f t="shared" si="8"/>
        <v>0</v>
      </c>
      <c r="P38" s="25">
        <f t="shared" si="8"/>
        <v>0</v>
      </c>
      <c r="Q38" s="25">
        <f t="shared" si="8"/>
        <v>0</v>
      </c>
      <c r="R38" s="24" t="s">
        <v>56</v>
      </c>
      <c r="S38" s="2" t="s">
        <v>24</v>
      </c>
    </row>
    <row r="39" spans="1:19" ht="15" thickBot="1" x14ac:dyDescent="0.4">
      <c r="A39" s="29"/>
      <c r="C39" s="3"/>
      <c r="D39" s="54">
        <f t="shared" ref="D39" si="9">SUM(D38:G38)</f>
        <v>0</v>
      </c>
      <c r="E39" s="55"/>
      <c r="F39" s="55"/>
      <c r="G39" s="56"/>
      <c r="H39" s="57">
        <f>SUM(H38:I38)</f>
        <v>0</v>
      </c>
      <c r="I39" s="58"/>
      <c r="J39" s="59">
        <f>SUM(J38:O38)</f>
        <v>0</v>
      </c>
      <c r="K39" s="60"/>
      <c r="L39" s="60"/>
      <c r="M39" s="60"/>
      <c r="N39" s="60"/>
      <c r="O39" s="61"/>
      <c r="P39" s="62">
        <f>SUM(P38:Q38)</f>
        <v>0</v>
      </c>
      <c r="Q39" s="63"/>
      <c r="R39" s="9">
        <f t="shared" ref="R39:R46" si="10">SUM(D39:Q39)</f>
        <v>0</v>
      </c>
      <c r="S39" s="9">
        <f>S30-R39</f>
        <v>0</v>
      </c>
    </row>
    <row r="40" spans="1:19" x14ac:dyDescent="0.35">
      <c r="A40" s="29"/>
      <c r="B40" s="8">
        <v>44466</v>
      </c>
      <c r="C40" s="3" t="s">
        <v>1</v>
      </c>
      <c r="D40" s="27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33">
        <f t="shared" si="10"/>
        <v>0</v>
      </c>
    </row>
    <row r="41" spans="1:19" ht="15" customHeight="1" x14ac:dyDescent="0.35">
      <c r="A41" s="64" t="s">
        <v>29</v>
      </c>
      <c r="B41" s="8">
        <v>44467</v>
      </c>
      <c r="C41" s="3" t="s">
        <v>2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>
        <f t="shared" si="10"/>
        <v>0</v>
      </c>
    </row>
    <row r="42" spans="1:19" x14ac:dyDescent="0.35">
      <c r="A42" s="64"/>
      <c r="B42" s="8">
        <v>44468</v>
      </c>
      <c r="C42" s="3" t="s">
        <v>3</v>
      </c>
      <c r="D42" s="28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>
        <f t="shared" si="10"/>
        <v>0</v>
      </c>
    </row>
    <row r="43" spans="1:19" x14ac:dyDescent="0.35">
      <c r="A43" s="64"/>
      <c r="B43" s="8">
        <v>44469</v>
      </c>
      <c r="C43" s="3" t="s">
        <v>4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>
        <f t="shared" si="10"/>
        <v>0</v>
      </c>
    </row>
    <row r="44" spans="1:19" ht="16.5" customHeight="1" x14ac:dyDescent="0.35">
      <c r="A44" s="64"/>
      <c r="B44" s="8" t="s">
        <v>33</v>
      </c>
      <c r="C44" s="3" t="s">
        <v>5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>
        <f t="shared" si="10"/>
        <v>0</v>
      </c>
    </row>
    <row r="45" spans="1:19" x14ac:dyDescent="0.35">
      <c r="A45" s="64"/>
      <c r="B45" s="8" t="s">
        <v>33</v>
      </c>
      <c r="C45" s="3" t="s">
        <v>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>
        <f t="shared" si="10"/>
        <v>0</v>
      </c>
    </row>
    <row r="46" spans="1:19" ht="15" thickBot="1" x14ac:dyDescent="0.4">
      <c r="A46" s="50"/>
      <c r="B46" s="8" t="s">
        <v>33</v>
      </c>
      <c r="C46" s="3" t="s">
        <v>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34">
        <f t="shared" si="10"/>
        <v>0</v>
      </c>
    </row>
    <row r="47" spans="1:19" ht="15" thickBot="1" x14ac:dyDescent="0.4">
      <c r="A47" s="50"/>
      <c r="B47" s="8"/>
      <c r="C47" s="3" t="s">
        <v>13</v>
      </c>
      <c r="D47" s="14">
        <f t="shared" ref="D47:Q47" si="11">SUM(D40:D46)</f>
        <v>0</v>
      </c>
      <c r="E47" s="14">
        <f t="shared" si="11"/>
        <v>0</v>
      </c>
      <c r="F47" s="14">
        <f t="shared" si="11"/>
        <v>0</v>
      </c>
      <c r="G47" s="14">
        <f t="shared" si="11"/>
        <v>0</v>
      </c>
      <c r="H47" s="15">
        <f t="shared" si="11"/>
        <v>0</v>
      </c>
      <c r="I47" s="15">
        <f t="shared" si="11"/>
        <v>0</v>
      </c>
      <c r="J47" s="16">
        <f t="shared" si="11"/>
        <v>0</v>
      </c>
      <c r="K47" s="16">
        <f t="shared" si="11"/>
        <v>0</v>
      </c>
      <c r="L47" s="16">
        <f t="shared" si="11"/>
        <v>0</v>
      </c>
      <c r="M47" s="16">
        <f t="shared" si="11"/>
        <v>0</v>
      </c>
      <c r="N47" s="16">
        <f t="shared" si="11"/>
        <v>0</v>
      </c>
      <c r="O47" s="16">
        <f t="shared" si="11"/>
        <v>0</v>
      </c>
      <c r="P47" s="17">
        <f t="shared" si="11"/>
        <v>0</v>
      </c>
      <c r="Q47" s="17">
        <f t="shared" si="11"/>
        <v>0</v>
      </c>
      <c r="R47" s="24" t="s">
        <v>56</v>
      </c>
      <c r="S47" s="2" t="s">
        <v>28</v>
      </c>
    </row>
    <row r="48" spans="1:19" ht="15" thickBot="1" x14ac:dyDescent="0.4">
      <c r="B48" s="8"/>
      <c r="C48" s="3"/>
      <c r="D48" s="54">
        <f>SUM(D47:G47)</f>
        <v>0</v>
      </c>
      <c r="E48" s="55"/>
      <c r="F48" s="55"/>
      <c r="G48" s="56"/>
      <c r="H48" s="57">
        <f>SUM(H47:I47)</f>
        <v>0</v>
      </c>
      <c r="I48" s="58"/>
      <c r="J48" s="59">
        <f>SUM(J47:O47)</f>
        <v>0</v>
      </c>
      <c r="K48" s="60"/>
      <c r="L48" s="60"/>
      <c r="M48" s="60"/>
      <c r="N48" s="60"/>
      <c r="O48" s="61"/>
      <c r="P48" s="62">
        <f>SUM(P47:Q47)</f>
        <v>0</v>
      </c>
      <c r="Q48" s="63"/>
      <c r="R48" s="9">
        <f t="shared" ref="R48:R55" si="12">SUM(D48:Q48)</f>
        <v>0</v>
      </c>
      <c r="S48" s="9">
        <f>S39-R48</f>
        <v>0</v>
      </c>
    </row>
    <row r="49" spans="1:19" ht="15.75" customHeight="1" x14ac:dyDescent="0.35">
      <c r="A49" s="64" t="s">
        <v>30</v>
      </c>
      <c r="B49" s="8" t="s">
        <v>33</v>
      </c>
      <c r="C49" s="32" t="s">
        <v>1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33">
        <f t="shared" si="12"/>
        <v>0</v>
      </c>
    </row>
    <row r="50" spans="1:19" ht="15.75" customHeight="1" x14ac:dyDescent="0.35">
      <c r="A50" s="64"/>
      <c r="B50" s="8" t="s">
        <v>33</v>
      </c>
      <c r="C50" s="32" t="s">
        <v>2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>
        <f t="shared" si="12"/>
        <v>0</v>
      </c>
    </row>
    <row r="51" spans="1:19" ht="15.75" customHeight="1" x14ac:dyDescent="0.35">
      <c r="A51" s="64"/>
      <c r="B51" s="8" t="s">
        <v>33</v>
      </c>
      <c r="C51" s="32" t="s">
        <v>3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>
        <f t="shared" si="12"/>
        <v>0</v>
      </c>
    </row>
    <row r="52" spans="1:19" ht="15.75" customHeight="1" x14ac:dyDescent="0.35">
      <c r="A52" s="64"/>
      <c r="B52" s="8" t="s">
        <v>33</v>
      </c>
      <c r="C52" s="32" t="s">
        <v>4</v>
      </c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>
        <f t="shared" si="12"/>
        <v>0</v>
      </c>
    </row>
    <row r="53" spans="1:19" ht="15.75" customHeight="1" x14ac:dyDescent="0.35">
      <c r="A53" s="64"/>
      <c r="B53" s="8" t="s">
        <v>33</v>
      </c>
      <c r="C53" s="32" t="s">
        <v>5</v>
      </c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>
        <f t="shared" si="12"/>
        <v>0</v>
      </c>
    </row>
    <row r="54" spans="1:19" ht="15.75" customHeight="1" x14ac:dyDescent="0.35">
      <c r="A54" s="64"/>
      <c r="B54" s="8" t="s">
        <v>33</v>
      </c>
      <c r="C54" s="32" t="s">
        <v>6</v>
      </c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>
        <f t="shared" si="12"/>
        <v>0</v>
      </c>
    </row>
    <row r="55" spans="1:19" ht="15.75" customHeight="1" thickBot="1" x14ac:dyDescent="0.4">
      <c r="A55" s="64"/>
      <c r="B55" s="8" t="s">
        <v>33</v>
      </c>
      <c r="C55" s="32" t="s">
        <v>7</v>
      </c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0">
        <f t="shared" si="12"/>
        <v>0</v>
      </c>
    </row>
    <row r="56" spans="1:19" ht="15" thickBot="1" x14ac:dyDescent="0.4">
      <c r="A56" s="29"/>
      <c r="B56" s="8"/>
      <c r="C56" s="3" t="s">
        <v>13</v>
      </c>
      <c r="D56" s="39">
        <f t="shared" ref="D56:F56" si="13">SUM(D49:D55)</f>
        <v>0</v>
      </c>
      <c r="E56" s="39">
        <f t="shared" si="13"/>
        <v>0</v>
      </c>
      <c r="F56" s="39">
        <f t="shared" si="13"/>
        <v>0</v>
      </c>
      <c r="G56" s="39">
        <f>SUM(G49:G55)</f>
        <v>0</v>
      </c>
      <c r="H56" s="37">
        <f t="shared" ref="H56:Q56" si="14">SUM(H49:H55)</f>
        <v>0</v>
      </c>
      <c r="I56" s="37">
        <f t="shared" si="14"/>
        <v>0</v>
      </c>
      <c r="J56" s="38">
        <f t="shared" si="14"/>
        <v>0</v>
      </c>
      <c r="K56" s="38">
        <f t="shared" si="14"/>
        <v>0</v>
      </c>
      <c r="L56" s="38">
        <f t="shared" si="14"/>
        <v>0</v>
      </c>
      <c r="M56" s="38">
        <f t="shared" si="14"/>
        <v>0</v>
      </c>
      <c r="N56" s="38">
        <f t="shared" si="14"/>
        <v>0</v>
      </c>
      <c r="O56" s="38">
        <f t="shared" si="14"/>
        <v>0</v>
      </c>
      <c r="P56" s="40">
        <f t="shared" si="14"/>
        <v>0</v>
      </c>
      <c r="Q56" s="40">
        <f t="shared" si="14"/>
        <v>0</v>
      </c>
      <c r="R56" s="24" t="s">
        <v>56</v>
      </c>
      <c r="S56" s="2" t="s">
        <v>39</v>
      </c>
    </row>
    <row r="57" spans="1:19" ht="15" thickBot="1" x14ac:dyDescent="0.4">
      <c r="A57" s="29"/>
      <c r="C57" s="3"/>
      <c r="D57" s="54">
        <f>SUM(D56:G56)</f>
        <v>0</v>
      </c>
      <c r="E57" s="55"/>
      <c r="F57" s="55"/>
      <c r="G57" s="56"/>
      <c r="H57" s="57">
        <f>SUM(H56:I56)</f>
        <v>0</v>
      </c>
      <c r="I57" s="58"/>
      <c r="J57" s="59">
        <f>SUM(J56:O56)</f>
        <v>0</v>
      </c>
      <c r="K57" s="60"/>
      <c r="L57" s="60"/>
      <c r="M57" s="60"/>
      <c r="N57" s="60"/>
      <c r="O57" s="61"/>
      <c r="P57" s="62">
        <f>SUM(P56:Q56)</f>
        <v>0</v>
      </c>
      <c r="Q57" s="63"/>
      <c r="R57" s="9">
        <f>SUM(D57:Q57)</f>
        <v>0</v>
      </c>
      <c r="S57" s="9">
        <f>S48-R57</f>
        <v>0</v>
      </c>
    </row>
    <row r="58" spans="1:19" x14ac:dyDescent="0.35">
      <c r="A58" s="29"/>
    </row>
    <row r="59" spans="1:19" x14ac:dyDescent="0.35">
      <c r="A59" s="29"/>
      <c r="B59" t="s">
        <v>55</v>
      </c>
      <c r="D59" s="54">
        <f t="shared" ref="D59" si="15">D12+D21+D30+D39+D48+D57</f>
        <v>0</v>
      </c>
      <c r="E59" s="55"/>
      <c r="F59" s="55"/>
      <c r="G59" s="56"/>
      <c r="H59" s="57">
        <f t="shared" ref="H59" si="16">H12+H21+H30+H39+H48+H57</f>
        <v>0</v>
      </c>
      <c r="I59" s="58"/>
      <c r="J59" s="59">
        <f t="shared" ref="J59" si="17">J12+J21+J30+J39+J48+J57</f>
        <v>0</v>
      </c>
      <c r="K59" s="60"/>
      <c r="L59" s="60"/>
      <c r="M59" s="60"/>
      <c r="N59" s="60"/>
      <c r="O59" s="61"/>
      <c r="P59" s="62">
        <f t="shared" ref="P59" si="18">P12+P21+P30+P39+P48+P57</f>
        <v>0</v>
      </c>
      <c r="Q59" s="63"/>
      <c r="R59">
        <f>R12+R21+R30+R39+R48+R57</f>
        <v>0</v>
      </c>
    </row>
  </sheetData>
  <mergeCells count="42">
    <mergeCell ref="A1:P1"/>
    <mergeCell ref="D2:G2"/>
    <mergeCell ref="H2:I2"/>
    <mergeCell ref="J2:O2"/>
    <mergeCell ref="P2:Q2"/>
    <mergeCell ref="P21:Q21"/>
    <mergeCell ref="A23:A29"/>
    <mergeCell ref="U4:U11"/>
    <mergeCell ref="D12:G12"/>
    <mergeCell ref="H12:I12"/>
    <mergeCell ref="J12:O12"/>
    <mergeCell ref="P12:Q12"/>
    <mergeCell ref="U13:U21"/>
    <mergeCell ref="A4:A11"/>
    <mergeCell ref="A32:A38"/>
    <mergeCell ref="A14:A20"/>
    <mergeCell ref="D21:G21"/>
    <mergeCell ref="H21:I21"/>
    <mergeCell ref="J21:O21"/>
    <mergeCell ref="V23:W23"/>
    <mergeCell ref="D30:G30"/>
    <mergeCell ref="H30:I30"/>
    <mergeCell ref="J30:O30"/>
    <mergeCell ref="P30:Q30"/>
    <mergeCell ref="A41:A45"/>
    <mergeCell ref="D48:G48"/>
    <mergeCell ref="H48:I48"/>
    <mergeCell ref="J48:O48"/>
    <mergeCell ref="P48:Q48"/>
    <mergeCell ref="D59:G59"/>
    <mergeCell ref="H59:I59"/>
    <mergeCell ref="J59:O59"/>
    <mergeCell ref="P59:Q59"/>
    <mergeCell ref="D39:G39"/>
    <mergeCell ref="H39:I39"/>
    <mergeCell ref="J39:O39"/>
    <mergeCell ref="P39:Q39"/>
    <mergeCell ref="A49:A55"/>
    <mergeCell ref="D57:G57"/>
    <mergeCell ref="H57:I57"/>
    <mergeCell ref="J57:O57"/>
    <mergeCell ref="P57:Q57"/>
  </mergeCells>
  <conditionalFormatting sqref="Z6">
    <cfRule type="cellIs" dxfId="15" priority="1" operator="lessThan">
      <formula>-200</formula>
    </cfRule>
    <cfRule type="cellIs" dxfId="14" priority="2" operator="between">
      <formula>-200</formula>
      <formula>0</formula>
    </cfRule>
    <cfRule type="cellIs" dxfId="13" priority="3" operator="between">
      <formula>0</formula>
      <formula>200</formula>
    </cfRule>
    <cfRule type="cellIs" dxfId="12" priority="4" operator="greaterThan">
      <formula>200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8072C-4C7D-430B-BA5F-FE2EAFA8C8C8}">
  <sheetPr codeName="Foglio10"/>
  <dimension ref="A1:AA59"/>
  <sheetViews>
    <sheetView zoomScale="55" zoomScaleNormal="5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T34" sqref="T34"/>
    </sheetView>
  </sheetViews>
  <sheetFormatPr defaultRowHeight="14.5" x14ac:dyDescent="0.35"/>
  <cols>
    <col min="1" max="1" width="3.7265625" bestFit="1" customWidth="1"/>
    <col min="2" max="2" width="12.453125" bestFit="1" customWidth="1"/>
    <col min="3" max="3" width="7.54296875" bestFit="1" customWidth="1"/>
    <col min="4" max="4" width="11" bestFit="1" customWidth="1"/>
    <col min="5" max="5" width="13.6328125" bestFit="1" customWidth="1"/>
    <col min="6" max="6" width="13.26953125" bestFit="1" customWidth="1"/>
    <col min="10" max="10" width="8.1796875" bestFit="1" customWidth="1"/>
    <col min="11" max="11" width="10" bestFit="1" customWidth="1"/>
    <col min="12" max="12" width="9.54296875" customWidth="1"/>
    <col min="14" max="14" width="9.453125" customWidth="1"/>
    <col min="18" max="18" width="17.90625" bestFit="1" customWidth="1"/>
    <col min="19" max="19" width="14.26953125" bestFit="1" customWidth="1"/>
    <col min="21" max="21" width="19.26953125" bestFit="1" customWidth="1"/>
    <col min="22" max="22" width="16.54296875" bestFit="1" customWidth="1"/>
    <col min="25" max="25" width="27.36328125" bestFit="1" customWidth="1"/>
    <col min="26" max="26" width="13.81640625" bestFit="1" customWidth="1"/>
    <col min="28" max="28" width="21.453125" bestFit="1" customWidth="1"/>
  </cols>
  <sheetData>
    <row r="1" spans="1:26" ht="26" x14ac:dyDescent="0.6">
      <c r="A1" s="74" t="str" cm="1">
        <f t="array" aca="1" ref="A1" ca="1">MID(CELL("nomefile",A1),FIND("]",CELL("nomefile",A1))+1,255)</f>
        <v>Ottobre 2021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51"/>
    </row>
    <row r="2" spans="1:26" ht="15" customHeight="1" x14ac:dyDescent="0.35">
      <c r="D2" s="76" t="s">
        <v>44</v>
      </c>
      <c r="E2" s="76"/>
      <c r="F2" s="76"/>
      <c r="G2" s="76"/>
      <c r="H2" s="77" t="s">
        <v>45</v>
      </c>
      <c r="I2" s="77"/>
      <c r="J2" s="78" t="s">
        <v>48</v>
      </c>
      <c r="K2" s="78"/>
      <c r="L2" s="78"/>
      <c r="M2" s="78"/>
      <c r="N2" s="78"/>
      <c r="O2" s="78"/>
      <c r="P2" s="79" t="s">
        <v>8</v>
      </c>
      <c r="Q2" s="80"/>
      <c r="S2" s="1" t="s">
        <v>17</v>
      </c>
    </row>
    <row r="3" spans="1:26" ht="29.5" thickBot="1" x14ac:dyDescent="0.4">
      <c r="D3" s="19" t="s">
        <v>49</v>
      </c>
      <c r="E3" s="4" t="s">
        <v>54</v>
      </c>
      <c r="F3" s="19" t="s">
        <v>52</v>
      </c>
      <c r="G3" s="4" t="s">
        <v>0</v>
      </c>
      <c r="H3" s="5" t="s">
        <v>46</v>
      </c>
      <c r="I3" s="5" t="s">
        <v>47</v>
      </c>
      <c r="J3" s="6" t="s">
        <v>50</v>
      </c>
      <c r="K3" s="6" t="s">
        <v>11</v>
      </c>
      <c r="L3" s="6" t="s">
        <v>51</v>
      </c>
      <c r="M3" s="6" t="s">
        <v>12</v>
      </c>
      <c r="N3" s="6" t="s">
        <v>10</v>
      </c>
      <c r="O3" s="6" t="s">
        <v>0</v>
      </c>
      <c r="P3" s="7"/>
      <c r="Q3" s="7" t="s">
        <v>26</v>
      </c>
      <c r="R3" s="52" t="s">
        <v>25</v>
      </c>
      <c r="S3" s="2">
        <f>V23</f>
        <v>0</v>
      </c>
    </row>
    <row r="4" spans="1:26" ht="15" customHeight="1" x14ac:dyDescent="0.45">
      <c r="A4" s="64" t="s">
        <v>9</v>
      </c>
      <c r="B4" s="8" t="s">
        <v>33</v>
      </c>
      <c r="C4" s="3" t="s">
        <v>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21"/>
      <c r="R4" s="20">
        <f t="shared" ref="R4:R10" si="0">SUM(D4:Q4)</f>
        <v>0</v>
      </c>
      <c r="U4" s="67" t="s">
        <v>18</v>
      </c>
      <c r="V4" s="26" t="s">
        <v>27</v>
      </c>
      <c r="W4" s="10"/>
      <c r="Y4" s="48" t="s">
        <v>40</v>
      </c>
      <c r="Z4" s="48">
        <f>SUM(W13:W21)+R12+R21+R30+R39+R48+R57</f>
        <v>0</v>
      </c>
    </row>
    <row r="5" spans="1:26" ht="15" customHeight="1" x14ac:dyDescent="0.35">
      <c r="A5" s="64"/>
      <c r="B5" s="8" t="s">
        <v>33</v>
      </c>
      <c r="C5" s="3" t="s">
        <v>2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20"/>
      <c r="R5" s="20">
        <f t="shared" si="0"/>
        <v>0</v>
      </c>
      <c r="U5" s="68"/>
      <c r="V5" s="31"/>
      <c r="W5" s="11"/>
    </row>
    <row r="6" spans="1:26" ht="15" customHeight="1" x14ac:dyDescent="0.45">
      <c r="A6" s="64"/>
      <c r="B6" s="8" t="s">
        <v>33</v>
      </c>
      <c r="C6" s="3" t="s">
        <v>3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20">
        <f t="shared" si="0"/>
        <v>0</v>
      </c>
      <c r="U6" s="68"/>
      <c r="V6" s="31"/>
      <c r="W6" s="11"/>
      <c r="Y6" s="48" t="s">
        <v>42</v>
      </c>
      <c r="Z6" s="48">
        <f>W11-Z4</f>
        <v>0</v>
      </c>
    </row>
    <row r="7" spans="1:26" ht="15" customHeight="1" x14ac:dyDescent="0.35">
      <c r="A7" s="64"/>
      <c r="B7" s="8" t="s">
        <v>33</v>
      </c>
      <c r="C7" s="3" t="s">
        <v>4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20"/>
      <c r="R7" s="20">
        <f t="shared" si="0"/>
        <v>0</v>
      </c>
      <c r="U7" s="68"/>
      <c r="V7" s="31"/>
      <c r="W7" s="11"/>
    </row>
    <row r="8" spans="1:26" ht="15" customHeight="1" x14ac:dyDescent="0.35">
      <c r="A8" s="64"/>
      <c r="B8" s="8">
        <v>44470</v>
      </c>
      <c r="C8" s="3" t="s">
        <v>5</v>
      </c>
      <c r="D8" s="18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>
        <f t="shared" si="0"/>
        <v>0</v>
      </c>
      <c r="U8" s="68"/>
      <c r="V8" s="31"/>
      <c r="W8" s="11"/>
    </row>
    <row r="9" spans="1:26" ht="15" customHeight="1" x14ac:dyDescent="0.35">
      <c r="A9" s="64"/>
      <c r="B9" s="8">
        <v>44471</v>
      </c>
      <c r="C9" s="3" t="s">
        <v>6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20"/>
      <c r="R9" s="20">
        <f t="shared" si="0"/>
        <v>0</v>
      </c>
      <c r="U9" s="68"/>
      <c r="V9" s="31"/>
      <c r="W9" s="11"/>
    </row>
    <row r="10" spans="1:26" ht="15" customHeight="1" thickBot="1" x14ac:dyDescent="0.4">
      <c r="A10" s="64"/>
      <c r="B10" s="8">
        <v>44472</v>
      </c>
      <c r="C10" s="3" t="s">
        <v>7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22"/>
      <c r="R10" s="20">
        <f t="shared" si="0"/>
        <v>0</v>
      </c>
      <c r="U10" s="68"/>
      <c r="V10" s="31"/>
      <c r="W10" s="11"/>
    </row>
    <row r="11" spans="1:26" ht="15" thickBot="1" x14ac:dyDescent="0.4">
      <c r="A11" s="64"/>
      <c r="C11" s="3" t="s">
        <v>13</v>
      </c>
      <c r="D11" s="35">
        <f>SUM(D4:D10)</f>
        <v>0</v>
      </c>
      <c r="E11" s="36">
        <f t="shared" ref="E11:P11" si="1">SUM(E4:E10)</f>
        <v>0</v>
      </c>
      <c r="F11" s="36">
        <f t="shared" si="1"/>
        <v>0</v>
      </c>
      <c r="G11" s="36">
        <f t="shared" si="1"/>
        <v>0</v>
      </c>
      <c r="H11" s="37">
        <f t="shared" si="1"/>
        <v>0</v>
      </c>
      <c r="I11" s="37">
        <f t="shared" si="1"/>
        <v>0</v>
      </c>
      <c r="J11" s="38">
        <f t="shared" si="1"/>
        <v>0</v>
      </c>
      <c r="K11" s="38">
        <f t="shared" si="1"/>
        <v>0</v>
      </c>
      <c r="L11" s="38">
        <f t="shared" si="1"/>
        <v>0</v>
      </c>
      <c r="M11" s="38">
        <f t="shared" si="1"/>
        <v>0</v>
      </c>
      <c r="N11" s="38">
        <f t="shared" si="1"/>
        <v>0</v>
      </c>
      <c r="O11" s="38">
        <f t="shared" si="1"/>
        <v>0</v>
      </c>
      <c r="P11" s="23">
        <f t="shared" si="1"/>
        <v>0</v>
      </c>
      <c r="Q11" s="23">
        <f>SUM(Q4:Q10)</f>
        <v>0</v>
      </c>
      <c r="R11" s="24" t="s">
        <v>56</v>
      </c>
      <c r="S11" s="2" t="s">
        <v>21</v>
      </c>
      <c r="U11" s="69"/>
      <c r="V11" s="49" t="s">
        <v>13</v>
      </c>
      <c r="W11" s="9">
        <f>SUM(W4:W10)</f>
        <v>0</v>
      </c>
    </row>
    <row r="12" spans="1:26" ht="15" thickBot="1" x14ac:dyDescent="0.4">
      <c r="A12" s="29"/>
      <c r="C12" s="3"/>
      <c r="D12" s="70">
        <f>SUM(D11:G11)</f>
        <v>0</v>
      </c>
      <c r="E12" s="71"/>
      <c r="F12" s="71"/>
      <c r="G12" s="71"/>
      <c r="H12" s="72">
        <f>SUM(H11:I11)</f>
        <v>0</v>
      </c>
      <c r="I12" s="72"/>
      <c r="J12" s="73">
        <f>SUM(J11:O11)</f>
        <v>0</v>
      </c>
      <c r="K12" s="73"/>
      <c r="L12" s="73"/>
      <c r="M12" s="73"/>
      <c r="N12" s="73"/>
      <c r="O12" s="73"/>
      <c r="P12" s="62">
        <f>SUM(P11:Q11)</f>
        <v>0</v>
      </c>
      <c r="Q12" s="63"/>
      <c r="R12" s="9">
        <f t="shared" ref="R12:R19" si="2">SUM(D12:Q12)</f>
        <v>0</v>
      </c>
      <c r="S12" s="9">
        <f>$S$3-R12</f>
        <v>0</v>
      </c>
      <c r="U12" s="1"/>
      <c r="V12" s="1"/>
    </row>
    <row r="13" spans="1:26" x14ac:dyDescent="0.35">
      <c r="A13" s="29"/>
      <c r="B13" s="8">
        <v>44473</v>
      </c>
      <c r="C13" s="3" t="s">
        <v>1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0"/>
      <c r="Q13" s="21"/>
      <c r="R13" s="33">
        <f t="shared" si="2"/>
        <v>0</v>
      </c>
      <c r="U13" s="67" t="s">
        <v>19</v>
      </c>
      <c r="V13" s="26" t="s">
        <v>20</v>
      </c>
      <c r="W13" s="10"/>
    </row>
    <row r="14" spans="1:26" x14ac:dyDescent="0.35">
      <c r="A14" s="64" t="s">
        <v>14</v>
      </c>
      <c r="B14" s="8">
        <v>44474</v>
      </c>
      <c r="C14" s="3" t="s">
        <v>2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>
        <f t="shared" si="2"/>
        <v>0</v>
      </c>
      <c r="U14" s="68"/>
      <c r="V14" s="31" t="s">
        <v>35</v>
      </c>
      <c r="W14" s="11"/>
    </row>
    <row r="15" spans="1:26" x14ac:dyDescent="0.35">
      <c r="A15" s="64"/>
      <c r="B15" s="8">
        <v>44475</v>
      </c>
      <c r="C15" s="3" t="s">
        <v>3</v>
      </c>
      <c r="D15" s="20"/>
      <c r="E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>
        <f t="shared" si="2"/>
        <v>0</v>
      </c>
      <c r="U15" s="68"/>
      <c r="V15" s="31" t="s">
        <v>37</v>
      </c>
      <c r="W15" s="11"/>
    </row>
    <row r="16" spans="1:26" ht="15.75" customHeight="1" x14ac:dyDescent="0.35">
      <c r="A16" s="64"/>
      <c r="B16" s="8">
        <v>44476</v>
      </c>
      <c r="C16" s="3" t="s">
        <v>4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>
        <f t="shared" si="2"/>
        <v>0</v>
      </c>
      <c r="U16" s="68"/>
      <c r="V16" s="31" t="s">
        <v>38</v>
      </c>
      <c r="W16" s="11"/>
    </row>
    <row r="17" spans="1:27" x14ac:dyDescent="0.35">
      <c r="A17" s="64"/>
      <c r="B17" s="8">
        <v>44477</v>
      </c>
      <c r="C17" s="3" t="s">
        <v>5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>
        <f t="shared" si="2"/>
        <v>0</v>
      </c>
      <c r="U17" s="68"/>
      <c r="V17" s="31" t="s">
        <v>36</v>
      </c>
      <c r="W17" s="11"/>
    </row>
    <row r="18" spans="1:27" x14ac:dyDescent="0.35">
      <c r="A18" s="64"/>
      <c r="B18" s="8">
        <v>44478</v>
      </c>
      <c r="C18" s="3" t="s">
        <v>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>
        <f t="shared" si="2"/>
        <v>0</v>
      </c>
      <c r="U18" s="68"/>
      <c r="V18" s="31"/>
      <c r="W18" s="11"/>
      <c r="X18" s="13"/>
    </row>
    <row r="19" spans="1:27" ht="15.75" customHeight="1" thickBot="1" x14ac:dyDescent="0.4">
      <c r="A19" s="64"/>
      <c r="B19" s="8">
        <v>44479</v>
      </c>
      <c r="C19" s="3" t="s">
        <v>7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34">
        <f t="shared" si="2"/>
        <v>0</v>
      </c>
      <c r="U19" s="68"/>
      <c r="V19" s="45"/>
      <c r="W19" s="11"/>
      <c r="X19" s="13"/>
    </row>
    <row r="20" spans="1:27" ht="15" thickBot="1" x14ac:dyDescent="0.4">
      <c r="A20" s="64"/>
      <c r="C20" s="3" t="s">
        <v>13</v>
      </c>
      <c r="D20" s="14">
        <f t="shared" ref="D20:Q20" si="3">SUM(D13:D19)</f>
        <v>0</v>
      </c>
      <c r="E20" s="14">
        <f t="shared" si="3"/>
        <v>0</v>
      </c>
      <c r="F20" s="14">
        <f t="shared" si="3"/>
        <v>0</v>
      </c>
      <c r="G20" s="14">
        <f t="shared" si="3"/>
        <v>0</v>
      </c>
      <c r="H20" s="15">
        <f t="shared" si="3"/>
        <v>0</v>
      </c>
      <c r="I20" s="15">
        <f t="shared" si="3"/>
        <v>0</v>
      </c>
      <c r="J20" s="16">
        <f t="shared" si="3"/>
        <v>0</v>
      </c>
      <c r="K20" s="16">
        <f t="shared" si="3"/>
        <v>0</v>
      </c>
      <c r="L20" s="16">
        <f t="shared" si="3"/>
        <v>0</v>
      </c>
      <c r="M20" s="16">
        <f t="shared" si="3"/>
        <v>0</v>
      </c>
      <c r="N20" s="16">
        <f t="shared" si="3"/>
        <v>0</v>
      </c>
      <c r="O20" s="16">
        <f t="shared" si="3"/>
        <v>0</v>
      </c>
      <c r="P20" s="25">
        <f t="shared" si="3"/>
        <v>0</v>
      </c>
      <c r="Q20" s="25">
        <f t="shared" si="3"/>
        <v>0</v>
      </c>
      <c r="R20" s="24" t="s">
        <v>56</v>
      </c>
      <c r="S20" s="2" t="s">
        <v>22</v>
      </c>
      <c r="U20" s="68"/>
      <c r="V20" s="45"/>
      <c r="W20" s="11"/>
    </row>
    <row r="21" spans="1:27" ht="15" thickBot="1" x14ac:dyDescent="0.4">
      <c r="A21" s="29"/>
      <c r="C21" s="3"/>
      <c r="D21" s="71">
        <f>SUM(D20:G20)</f>
        <v>0</v>
      </c>
      <c r="E21" s="71"/>
      <c r="F21" s="71"/>
      <c r="G21" s="71"/>
      <c r="H21" s="72">
        <f>SUM(H20:I20)</f>
        <v>0</v>
      </c>
      <c r="I21" s="72"/>
      <c r="J21" s="73">
        <f>SUM(J20:O20)</f>
        <v>0</v>
      </c>
      <c r="K21" s="73"/>
      <c r="L21" s="73"/>
      <c r="M21" s="73"/>
      <c r="N21" s="73"/>
      <c r="O21" s="73"/>
      <c r="P21" s="62">
        <f>SUM(P20:Q20)</f>
        <v>0</v>
      </c>
      <c r="Q21" s="63"/>
      <c r="R21" s="9">
        <f t="shared" ref="R21:R28" si="4">SUM(D21:Q21)</f>
        <v>0</v>
      </c>
      <c r="S21" s="9">
        <f>S12-R21</f>
        <v>0</v>
      </c>
      <c r="U21" s="69"/>
      <c r="V21" s="46"/>
      <c r="W21" s="47"/>
      <c r="X21" s="13"/>
    </row>
    <row r="22" spans="1:27" ht="15" thickBot="1" x14ac:dyDescent="0.4">
      <c r="A22" s="29"/>
      <c r="B22" s="8">
        <v>44480</v>
      </c>
      <c r="C22" s="3" t="s">
        <v>1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0"/>
      <c r="Q22" s="21"/>
      <c r="R22" s="33">
        <f t="shared" si="4"/>
        <v>0</v>
      </c>
      <c r="Z22" t="s">
        <v>44</v>
      </c>
      <c r="AA22">
        <f>D59</f>
        <v>0</v>
      </c>
    </row>
    <row r="23" spans="1:27" ht="15" thickBot="1" x14ac:dyDescent="0.4">
      <c r="A23" s="64" t="s">
        <v>15</v>
      </c>
      <c r="B23" s="8">
        <v>44481</v>
      </c>
      <c r="C23" s="3" t="s">
        <v>2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>
        <f t="shared" si="4"/>
        <v>0</v>
      </c>
      <c r="U23" s="12" t="s">
        <v>17</v>
      </c>
      <c r="V23" s="65">
        <f t="shared" ref="V23" si="5">W11-SUM(W13:W21)</f>
        <v>0</v>
      </c>
      <c r="W23" s="66"/>
      <c r="Z23" t="s">
        <v>45</v>
      </c>
      <c r="AA23">
        <f>H59</f>
        <v>0</v>
      </c>
    </row>
    <row r="24" spans="1:27" x14ac:dyDescent="0.35">
      <c r="A24" s="64"/>
      <c r="B24" s="8">
        <v>44482</v>
      </c>
      <c r="C24" s="3" t="s">
        <v>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>
        <f t="shared" si="4"/>
        <v>0</v>
      </c>
      <c r="Z24" t="s">
        <v>48</v>
      </c>
      <c r="AA24">
        <f>J59</f>
        <v>0</v>
      </c>
    </row>
    <row r="25" spans="1:27" x14ac:dyDescent="0.35">
      <c r="A25" s="64"/>
      <c r="B25" s="8">
        <v>44483</v>
      </c>
      <c r="C25" s="3" t="s">
        <v>4</v>
      </c>
      <c r="D25" s="20"/>
      <c r="E25" s="20"/>
      <c r="F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>
        <f t="shared" si="4"/>
        <v>0</v>
      </c>
      <c r="U25">
        <f>S3-S48</f>
        <v>0</v>
      </c>
      <c r="Z25" t="s">
        <v>53</v>
      </c>
      <c r="AA25">
        <f>P59</f>
        <v>0</v>
      </c>
    </row>
    <row r="26" spans="1:27" x14ac:dyDescent="0.35">
      <c r="A26" s="64"/>
      <c r="B26" s="8">
        <v>44484</v>
      </c>
      <c r="C26" s="3" t="s">
        <v>5</v>
      </c>
      <c r="D26" s="20"/>
      <c r="E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>
        <f t="shared" si="4"/>
        <v>0</v>
      </c>
      <c r="Z26" t="s">
        <v>83</v>
      </c>
      <c r="AA26">
        <f>W13</f>
        <v>0</v>
      </c>
    </row>
    <row r="27" spans="1:27" x14ac:dyDescent="0.35">
      <c r="A27" s="64"/>
      <c r="B27" s="8">
        <v>44485</v>
      </c>
      <c r="C27" s="3" t="s">
        <v>6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>
        <f t="shared" si="4"/>
        <v>0</v>
      </c>
      <c r="Z27" t="s">
        <v>84</v>
      </c>
      <c r="AA27">
        <f>SUM(W14:W17)</f>
        <v>0</v>
      </c>
    </row>
    <row r="28" spans="1:27" ht="15" customHeight="1" thickBot="1" x14ac:dyDescent="0.4">
      <c r="A28" s="64"/>
      <c r="B28" s="8">
        <v>44486</v>
      </c>
      <c r="C28" s="3" t="s">
        <v>7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34">
        <f t="shared" si="4"/>
        <v>0</v>
      </c>
    </row>
    <row r="29" spans="1:27" ht="15" thickBot="1" x14ac:dyDescent="0.4">
      <c r="A29" s="64"/>
      <c r="C29" s="3" t="s">
        <v>13</v>
      </c>
      <c r="D29" s="14">
        <f t="shared" ref="D29:Q29" si="6">SUM(D22:D28)</f>
        <v>0</v>
      </c>
      <c r="E29" s="14">
        <f>SUM(E22:E28)</f>
        <v>0</v>
      </c>
      <c r="F29" s="14">
        <f t="shared" si="6"/>
        <v>0</v>
      </c>
      <c r="G29" s="14">
        <f t="shared" si="6"/>
        <v>0</v>
      </c>
      <c r="H29" s="15">
        <f t="shared" si="6"/>
        <v>0</v>
      </c>
      <c r="I29" s="15">
        <f t="shared" si="6"/>
        <v>0</v>
      </c>
      <c r="J29" s="16">
        <f t="shared" si="6"/>
        <v>0</v>
      </c>
      <c r="K29" s="16">
        <f t="shared" si="6"/>
        <v>0</v>
      </c>
      <c r="L29" s="16">
        <f t="shared" si="6"/>
        <v>0</v>
      </c>
      <c r="M29" s="16">
        <f t="shared" si="6"/>
        <v>0</v>
      </c>
      <c r="N29" s="16">
        <f t="shared" si="6"/>
        <v>0</v>
      </c>
      <c r="O29" s="16">
        <f t="shared" si="6"/>
        <v>0</v>
      </c>
      <c r="P29" s="23">
        <f t="shared" si="6"/>
        <v>0</v>
      </c>
      <c r="Q29" s="23">
        <f t="shared" si="6"/>
        <v>0</v>
      </c>
      <c r="R29" s="24" t="s">
        <v>56</v>
      </c>
      <c r="S29" s="2" t="s">
        <v>23</v>
      </c>
    </row>
    <row r="30" spans="1:27" ht="15" thickBot="1" x14ac:dyDescent="0.4">
      <c r="A30" s="29"/>
      <c r="C30" s="3"/>
      <c r="D30" s="54">
        <f>SUM(D29:G29)</f>
        <v>0</v>
      </c>
      <c r="E30" s="55"/>
      <c r="F30" s="55"/>
      <c r="G30" s="56"/>
      <c r="H30" s="57">
        <f>SUM(H29:I29)</f>
        <v>0</v>
      </c>
      <c r="I30" s="58"/>
      <c r="J30" s="59">
        <f>SUM(J29:O29)</f>
        <v>0</v>
      </c>
      <c r="K30" s="60"/>
      <c r="L30" s="60"/>
      <c r="M30" s="60"/>
      <c r="N30" s="60"/>
      <c r="O30" s="61"/>
      <c r="P30" s="62">
        <f>SUM(P29:Q29)</f>
        <v>0</v>
      </c>
      <c r="Q30" s="63"/>
      <c r="R30" s="9">
        <f t="shared" ref="R30:R37" si="7">SUM(D30:Q30)</f>
        <v>0</v>
      </c>
      <c r="S30" s="9">
        <f>S21-R30</f>
        <v>0</v>
      </c>
    </row>
    <row r="31" spans="1:27" x14ac:dyDescent="0.35">
      <c r="A31" s="29"/>
      <c r="B31" s="8">
        <v>44487</v>
      </c>
      <c r="C31" s="3" t="s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0"/>
      <c r="Q31" s="21"/>
      <c r="R31" s="33">
        <f t="shared" si="7"/>
        <v>0</v>
      </c>
    </row>
    <row r="32" spans="1:27" x14ac:dyDescent="0.35">
      <c r="A32" s="64" t="s">
        <v>16</v>
      </c>
      <c r="B32" s="8">
        <v>44488</v>
      </c>
      <c r="C32" s="3" t="s">
        <v>2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>
        <f t="shared" si="7"/>
        <v>0</v>
      </c>
    </row>
    <row r="33" spans="1:19" x14ac:dyDescent="0.35">
      <c r="A33" s="64"/>
      <c r="B33" s="8">
        <v>44489</v>
      </c>
      <c r="C33" s="3" t="s">
        <v>3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>
        <f t="shared" si="7"/>
        <v>0</v>
      </c>
    </row>
    <row r="34" spans="1:19" x14ac:dyDescent="0.35">
      <c r="A34" s="64"/>
      <c r="B34" s="8">
        <v>44490</v>
      </c>
      <c r="C34" s="3" t="s">
        <v>4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>
        <f t="shared" si="7"/>
        <v>0</v>
      </c>
    </row>
    <row r="35" spans="1:19" x14ac:dyDescent="0.35">
      <c r="A35" s="64"/>
      <c r="B35" s="8">
        <v>44491</v>
      </c>
      <c r="C35" s="3" t="s">
        <v>5</v>
      </c>
      <c r="D35" s="20"/>
      <c r="F35" s="20"/>
      <c r="G35" s="20"/>
      <c r="H35" s="20"/>
      <c r="J35" s="20"/>
      <c r="K35" s="20"/>
      <c r="L35" s="20"/>
      <c r="N35" s="20"/>
      <c r="O35" s="20"/>
      <c r="P35" s="20"/>
      <c r="Q35" s="20"/>
      <c r="R35" s="20">
        <f t="shared" si="7"/>
        <v>0</v>
      </c>
    </row>
    <row r="36" spans="1:19" x14ac:dyDescent="0.35">
      <c r="A36" s="64"/>
      <c r="B36" s="8">
        <v>44492</v>
      </c>
      <c r="C36" s="3" t="s">
        <v>6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>
        <f t="shared" si="7"/>
        <v>0</v>
      </c>
    </row>
    <row r="37" spans="1:19" ht="15" customHeight="1" thickBot="1" x14ac:dyDescent="0.4">
      <c r="A37" s="64"/>
      <c r="B37" s="8">
        <v>44493</v>
      </c>
      <c r="C37" s="3" t="s">
        <v>7</v>
      </c>
      <c r="D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34">
        <f t="shared" si="7"/>
        <v>0</v>
      </c>
    </row>
    <row r="38" spans="1:19" ht="15" thickBot="1" x14ac:dyDescent="0.4">
      <c r="A38" s="64"/>
      <c r="C38" s="3" t="s">
        <v>13</v>
      </c>
      <c r="D38" s="14">
        <f>SUM(D31:D37)</f>
        <v>0</v>
      </c>
      <c r="E38" s="14">
        <f t="shared" ref="E38:Q38" si="8">SUM(E31:E37)</f>
        <v>0</v>
      </c>
      <c r="F38" s="14">
        <f t="shared" si="8"/>
        <v>0</v>
      </c>
      <c r="G38" s="14">
        <f t="shared" si="8"/>
        <v>0</v>
      </c>
      <c r="H38" s="15">
        <f t="shared" si="8"/>
        <v>0</v>
      </c>
      <c r="I38" s="15">
        <f t="shared" si="8"/>
        <v>0</v>
      </c>
      <c r="J38" s="16">
        <f t="shared" si="8"/>
        <v>0</v>
      </c>
      <c r="K38" s="16">
        <f t="shared" si="8"/>
        <v>0</v>
      </c>
      <c r="L38" s="16">
        <f t="shared" si="8"/>
        <v>0</v>
      </c>
      <c r="M38" s="16">
        <f t="shared" si="8"/>
        <v>0</v>
      </c>
      <c r="N38" s="16">
        <f t="shared" si="8"/>
        <v>0</v>
      </c>
      <c r="O38" s="16">
        <f t="shared" si="8"/>
        <v>0</v>
      </c>
      <c r="P38" s="25">
        <f t="shared" si="8"/>
        <v>0</v>
      </c>
      <c r="Q38" s="25">
        <f t="shared" si="8"/>
        <v>0</v>
      </c>
      <c r="R38" s="24" t="s">
        <v>56</v>
      </c>
      <c r="S38" s="2" t="s">
        <v>24</v>
      </c>
    </row>
    <row r="39" spans="1:19" ht="15" thickBot="1" x14ac:dyDescent="0.4">
      <c r="A39" s="29"/>
      <c r="C39" s="3"/>
      <c r="D39" s="54">
        <f t="shared" ref="D39" si="9">SUM(D38:G38)</f>
        <v>0</v>
      </c>
      <c r="E39" s="55"/>
      <c r="F39" s="55"/>
      <c r="G39" s="56"/>
      <c r="H39" s="57">
        <f>SUM(H38:I38)</f>
        <v>0</v>
      </c>
      <c r="I39" s="58"/>
      <c r="J39" s="59">
        <f>SUM(J38:O38)</f>
        <v>0</v>
      </c>
      <c r="K39" s="60"/>
      <c r="L39" s="60"/>
      <c r="M39" s="60"/>
      <c r="N39" s="60"/>
      <c r="O39" s="61"/>
      <c r="P39" s="62">
        <f>SUM(P38:Q38)</f>
        <v>0</v>
      </c>
      <c r="Q39" s="63"/>
      <c r="R39" s="9">
        <f t="shared" ref="R39:R46" si="10">SUM(D39:Q39)</f>
        <v>0</v>
      </c>
      <c r="S39" s="9">
        <f>S30-R39</f>
        <v>0</v>
      </c>
    </row>
    <row r="40" spans="1:19" x14ac:dyDescent="0.35">
      <c r="A40" s="29"/>
      <c r="B40" s="8">
        <v>44494</v>
      </c>
      <c r="C40" s="3" t="s">
        <v>1</v>
      </c>
      <c r="D40" s="27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33">
        <f t="shared" si="10"/>
        <v>0</v>
      </c>
    </row>
    <row r="41" spans="1:19" ht="15" customHeight="1" x14ac:dyDescent="0.35">
      <c r="A41" s="64" t="s">
        <v>29</v>
      </c>
      <c r="B41" s="8">
        <v>44495</v>
      </c>
      <c r="C41" s="3" t="s">
        <v>2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>
        <f t="shared" si="10"/>
        <v>0</v>
      </c>
    </row>
    <row r="42" spans="1:19" x14ac:dyDescent="0.35">
      <c r="A42" s="64"/>
      <c r="B42" s="8">
        <v>44496</v>
      </c>
      <c r="C42" s="3" t="s">
        <v>3</v>
      </c>
      <c r="D42" s="28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>
        <f t="shared" si="10"/>
        <v>0</v>
      </c>
    </row>
    <row r="43" spans="1:19" x14ac:dyDescent="0.35">
      <c r="A43" s="64"/>
      <c r="B43" s="8">
        <v>44497</v>
      </c>
      <c r="C43" s="3" t="s">
        <v>4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>
        <f t="shared" si="10"/>
        <v>0</v>
      </c>
    </row>
    <row r="44" spans="1:19" ht="16.5" customHeight="1" x14ac:dyDescent="0.35">
      <c r="A44" s="64"/>
      <c r="B44" s="8">
        <v>44498</v>
      </c>
      <c r="C44" s="3" t="s">
        <v>5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>
        <f t="shared" si="10"/>
        <v>0</v>
      </c>
    </row>
    <row r="45" spans="1:19" x14ac:dyDescent="0.35">
      <c r="A45" s="64"/>
      <c r="B45" s="8">
        <v>44499</v>
      </c>
      <c r="C45" s="3" t="s">
        <v>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>
        <f t="shared" si="10"/>
        <v>0</v>
      </c>
    </row>
    <row r="46" spans="1:19" ht="15" thickBot="1" x14ac:dyDescent="0.4">
      <c r="A46" s="50"/>
      <c r="B46" s="8">
        <v>44500</v>
      </c>
      <c r="C46" s="3" t="s">
        <v>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34">
        <f t="shared" si="10"/>
        <v>0</v>
      </c>
    </row>
    <row r="47" spans="1:19" ht="15" thickBot="1" x14ac:dyDescent="0.4">
      <c r="A47" s="50"/>
      <c r="C47" s="3" t="s">
        <v>13</v>
      </c>
      <c r="D47" s="14">
        <f t="shared" ref="D47:Q47" si="11">SUM(D40:D46)</f>
        <v>0</v>
      </c>
      <c r="E47" s="14">
        <f t="shared" si="11"/>
        <v>0</v>
      </c>
      <c r="F47" s="14">
        <f t="shared" si="11"/>
        <v>0</v>
      </c>
      <c r="G47" s="14">
        <f t="shared" si="11"/>
        <v>0</v>
      </c>
      <c r="H47" s="15">
        <f t="shared" si="11"/>
        <v>0</v>
      </c>
      <c r="I47" s="15">
        <f t="shared" si="11"/>
        <v>0</v>
      </c>
      <c r="J47" s="16">
        <f t="shared" si="11"/>
        <v>0</v>
      </c>
      <c r="K47" s="16">
        <f t="shared" si="11"/>
        <v>0</v>
      </c>
      <c r="L47" s="16">
        <f t="shared" si="11"/>
        <v>0</v>
      </c>
      <c r="M47" s="16">
        <f t="shared" si="11"/>
        <v>0</v>
      </c>
      <c r="N47" s="16">
        <f t="shared" si="11"/>
        <v>0</v>
      </c>
      <c r="O47" s="16">
        <f t="shared" si="11"/>
        <v>0</v>
      </c>
      <c r="P47" s="17">
        <f t="shared" si="11"/>
        <v>0</v>
      </c>
      <c r="Q47" s="17">
        <f t="shared" si="11"/>
        <v>0</v>
      </c>
      <c r="R47" s="24" t="s">
        <v>56</v>
      </c>
      <c r="S47" s="2" t="s">
        <v>28</v>
      </c>
    </row>
    <row r="48" spans="1:19" ht="15" thickBot="1" x14ac:dyDescent="0.4">
      <c r="C48" s="3"/>
      <c r="D48" s="54">
        <f>SUM(D47:G47)</f>
        <v>0</v>
      </c>
      <c r="E48" s="55"/>
      <c r="F48" s="55"/>
      <c r="G48" s="56"/>
      <c r="H48" s="57">
        <f>SUM(H47:I47)</f>
        <v>0</v>
      </c>
      <c r="I48" s="58"/>
      <c r="J48" s="59">
        <f>SUM(J47:O47)</f>
        <v>0</v>
      </c>
      <c r="K48" s="60"/>
      <c r="L48" s="60"/>
      <c r="M48" s="60"/>
      <c r="N48" s="60"/>
      <c r="O48" s="61"/>
      <c r="P48" s="62">
        <f>SUM(P47:Q47)</f>
        <v>0</v>
      </c>
      <c r="Q48" s="63"/>
      <c r="R48" s="9">
        <f t="shared" ref="R48:R55" si="12">SUM(D48:Q48)</f>
        <v>0</v>
      </c>
      <c r="S48" s="9">
        <f>S39-R48</f>
        <v>0</v>
      </c>
    </row>
    <row r="49" spans="1:19" ht="15.75" customHeight="1" x14ac:dyDescent="0.35">
      <c r="A49" s="64" t="s">
        <v>30</v>
      </c>
      <c r="B49" s="8" t="s">
        <v>33</v>
      </c>
      <c r="C49" s="32" t="s">
        <v>1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33">
        <f t="shared" si="12"/>
        <v>0</v>
      </c>
    </row>
    <row r="50" spans="1:19" ht="15.75" customHeight="1" x14ac:dyDescent="0.35">
      <c r="A50" s="64"/>
      <c r="B50" s="8" t="s">
        <v>33</v>
      </c>
      <c r="C50" s="32" t="s">
        <v>2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>
        <f t="shared" si="12"/>
        <v>0</v>
      </c>
    </row>
    <row r="51" spans="1:19" ht="15.75" customHeight="1" x14ac:dyDescent="0.35">
      <c r="A51" s="64"/>
      <c r="B51" s="8" t="s">
        <v>33</v>
      </c>
      <c r="C51" s="32" t="s">
        <v>3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>
        <f t="shared" si="12"/>
        <v>0</v>
      </c>
    </row>
    <row r="52" spans="1:19" ht="15.75" customHeight="1" x14ac:dyDescent="0.35">
      <c r="A52" s="64"/>
      <c r="B52" s="8" t="s">
        <v>33</v>
      </c>
      <c r="C52" s="32" t="s">
        <v>4</v>
      </c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>
        <f t="shared" si="12"/>
        <v>0</v>
      </c>
    </row>
    <row r="53" spans="1:19" ht="15.75" customHeight="1" x14ac:dyDescent="0.35">
      <c r="A53" s="64"/>
      <c r="B53" s="8" t="s">
        <v>33</v>
      </c>
      <c r="C53" s="32" t="s">
        <v>5</v>
      </c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>
        <f t="shared" si="12"/>
        <v>0</v>
      </c>
    </row>
    <row r="54" spans="1:19" ht="15.75" customHeight="1" x14ac:dyDescent="0.35">
      <c r="A54" s="64"/>
      <c r="B54" s="8" t="s">
        <v>33</v>
      </c>
      <c r="C54" s="32" t="s">
        <v>6</v>
      </c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>
        <f t="shared" si="12"/>
        <v>0</v>
      </c>
    </row>
    <row r="55" spans="1:19" ht="15.75" customHeight="1" thickBot="1" x14ac:dyDescent="0.4">
      <c r="A55" s="64"/>
      <c r="B55" s="8" t="s">
        <v>33</v>
      </c>
      <c r="C55" s="32" t="s">
        <v>7</v>
      </c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0">
        <f t="shared" si="12"/>
        <v>0</v>
      </c>
    </row>
    <row r="56" spans="1:19" ht="15" thickBot="1" x14ac:dyDescent="0.4">
      <c r="A56" s="29"/>
      <c r="B56" s="8"/>
      <c r="C56" s="3" t="s">
        <v>13</v>
      </c>
      <c r="D56" s="39">
        <f t="shared" ref="D56:F56" si="13">SUM(D49:D55)</f>
        <v>0</v>
      </c>
      <c r="E56" s="39">
        <f t="shared" si="13"/>
        <v>0</v>
      </c>
      <c r="F56" s="39">
        <f t="shared" si="13"/>
        <v>0</v>
      </c>
      <c r="G56" s="39">
        <f>SUM(G49:G55)</f>
        <v>0</v>
      </c>
      <c r="H56" s="37">
        <f t="shared" ref="H56:Q56" si="14">SUM(H49:H55)</f>
        <v>0</v>
      </c>
      <c r="I56" s="37">
        <f t="shared" si="14"/>
        <v>0</v>
      </c>
      <c r="J56" s="38">
        <f t="shared" si="14"/>
        <v>0</v>
      </c>
      <c r="K56" s="38">
        <f t="shared" si="14"/>
        <v>0</v>
      </c>
      <c r="L56" s="38">
        <f t="shared" si="14"/>
        <v>0</v>
      </c>
      <c r="M56" s="38">
        <f t="shared" si="14"/>
        <v>0</v>
      </c>
      <c r="N56" s="38">
        <f t="shared" si="14"/>
        <v>0</v>
      </c>
      <c r="O56" s="38">
        <f t="shared" si="14"/>
        <v>0</v>
      </c>
      <c r="P56" s="40">
        <f t="shared" si="14"/>
        <v>0</v>
      </c>
      <c r="Q56" s="40">
        <f t="shared" si="14"/>
        <v>0</v>
      </c>
      <c r="R56" s="24" t="s">
        <v>56</v>
      </c>
      <c r="S56" s="2" t="s">
        <v>39</v>
      </c>
    </row>
    <row r="57" spans="1:19" ht="15" thickBot="1" x14ac:dyDescent="0.4">
      <c r="A57" s="29"/>
      <c r="C57" s="3"/>
      <c r="D57" s="54">
        <f>SUM(D56:G56)</f>
        <v>0</v>
      </c>
      <c r="E57" s="55"/>
      <c r="F57" s="55"/>
      <c r="G57" s="56"/>
      <c r="H57" s="57">
        <f>SUM(H56:I56)</f>
        <v>0</v>
      </c>
      <c r="I57" s="58"/>
      <c r="J57" s="59">
        <f>SUM(J56:O56)</f>
        <v>0</v>
      </c>
      <c r="K57" s="60"/>
      <c r="L57" s="60"/>
      <c r="M57" s="60"/>
      <c r="N57" s="60"/>
      <c r="O57" s="61"/>
      <c r="P57" s="62">
        <f>SUM(P56:Q56)</f>
        <v>0</v>
      </c>
      <c r="Q57" s="63"/>
      <c r="R57" s="9">
        <f>SUM(D57:Q57)</f>
        <v>0</v>
      </c>
      <c r="S57" s="9">
        <f>S48-R57</f>
        <v>0</v>
      </c>
    </row>
    <row r="58" spans="1:19" x14ac:dyDescent="0.35">
      <c r="A58" s="29"/>
    </row>
    <row r="59" spans="1:19" x14ac:dyDescent="0.35">
      <c r="A59" s="29"/>
      <c r="B59" t="s">
        <v>55</v>
      </c>
      <c r="D59" s="54">
        <f t="shared" ref="D59" si="15">D12+D21+D30+D39+D48+D57</f>
        <v>0</v>
      </c>
      <c r="E59" s="55"/>
      <c r="F59" s="55"/>
      <c r="G59" s="56"/>
      <c r="H59" s="57">
        <f t="shared" ref="H59" si="16">H12+H21+H30+H39+H48+H57</f>
        <v>0</v>
      </c>
      <c r="I59" s="58"/>
      <c r="J59" s="59">
        <f t="shared" ref="J59" si="17">J12+J21+J30+J39+J48+J57</f>
        <v>0</v>
      </c>
      <c r="K59" s="60"/>
      <c r="L59" s="60"/>
      <c r="M59" s="60"/>
      <c r="N59" s="60"/>
      <c r="O59" s="61"/>
      <c r="P59" s="62">
        <f t="shared" ref="P59" si="18">P12+P21+P30+P39+P48+P57</f>
        <v>0</v>
      </c>
      <c r="Q59" s="63"/>
      <c r="R59">
        <f>R12+R21+R30+R39+R48+R57</f>
        <v>0</v>
      </c>
    </row>
  </sheetData>
  <mergeCells count="42">
    <mergeCell ref="A1:P1"/>
    <mergeCell ref="D2:G2"/>
    <mergeCell ref="H2:I2"/>
    <mergeCell ref="J2:O2"/>
    <mergeCell ref="P2:Q2"/>
    <mergeCell ref="P21:Q21"/>
    <mergeCell ref="A23:A29"/>
    <mergeCell ref="U4:U11"/>
    <mergeCell ref="D12:G12"/>
    <mergeCell ref="H12:I12"/>
    <mergeCell ref="J12:O12"/>
    <mergeCell ref="P12:Q12"/>
    <mergeCell ref="U13:U21"/>
    <mergeCell ref="A4:A11"/>
    <mergeCell ref="A32:A38"/>
    <mergeCell ref="A14:A20"/>
    <mergeCell ref="D21:G21"/>
    <mergeCell ref="H21:I21"/>
    <mergeCell ref="J21:O21"/>
    <mergeCell ref="V23:W23"/>
    <mergeCell ref="D30:G30"/>
    <mergeCell ref="H30:I30"/>
    <mergeCell ref="J30:O30"/>
    <mergeCell ref="P30:Q30"/>
    <mergeCell ref="A41:A45"/>
    <mergeCell ref="D48:G48"/>
    <mergeCell ref="H48:I48"/>
    <mergeCell ref="J48:O48"/>
    <mergeCell ref="P48:Q48"/>
    <mergeCell ref="D59:G59"/>
    <mergeCell ref="H59:I59"/>
    <mergeCell ref="J59:O59"/>
    <mergeCell ref="P59:Q59"/>
    <mergeCell ref="D39:G39"/>
    <mergeCell ref="H39:I39"/>
    <mergeCell ref="J39:O39"/>
    <mergeCell ref="P39:Q39"/>
    <mergeCell ref="A49:A55"/>
    <mergeCell ref="D57:G57"/>
    <mergeCell ref="H57:I57"/>
    <mergeCell ref="J57:O57"/>
    <mergeCell ref="P57:Q57"/>
  </mergeCells>
  <conditionalFormatting sqref="Z6">
    <cfRule type="cellIs" dxfId="11" priority="1" operator="lessThan">
      <formula>-200</formula>
    </cfRule>
    <cfRule type="cellIs" dxfId="10" priority="2" operator="between">
      <formula>-200</formula>
      <formula>0</formula>
    </cfRule>
    <cfRule type="cellIs" dxfId="9" priority="3" operator="between">
      <formula>0</formula>
      <formula>200</formula>
    </cfRule>
    <cfRule type="cellIs" dxfId="8" priority="4" operator="greaterThan">
      <formula>200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83363-84A4-404C-9C7D-5FE770B32886}">
  <sheetPr codeName="Foglio11"/>
  <dimension ref="A1:AA59"/>
  <sheetViews>
    <sheetView zoomScale="55" zoomScaleNormal="55" workbookViewId="0">
      <pane xSplit="3" ySplit="3" topLeftCell="G4" activePane="bottomRight" state="frozen"/>
      <selection pane="topRight" activeCell="D1" sqref="D1"/>
      <selection pane="bottomLeft" activeCell="A4" sqref="A4"/>
      <selection pane="bottomRight" activeCell="G15" sqref="G15:K17"/>
    </sheetView>
  </sheetViews>
  <sheetFormatPr defaultRowHeight="14.5" x14ac:dyDescent="0.35"/>
  <cols>
    <col min="1" max="1" width="3.7265625" bestFit="1" customWidth="1"/>
    <col min="2" max="2" width="12.453125" bestFit="1" customWidth="1"/>
    <col min="3" max="3" width="7.54296875" bestFit="1" customWidth="1"/>
    <col min="4" max="4" width="11" bestFit="1" customWidth="1"/>
    <col min="5" max="5" width="13.6328125" bestFit="1" customWidth="1"/>
    <col min="6" max="6" width="13.26953125" bestFit="1" customWidth="1"/>
    <col min="10" max="10" width="8.1796875" bestFit="1" customWidth="1"/>
    <col min="11" max="11" width="10" bestFit="1" customWidth="1"/>
    <col min="12" max="12" width="9.54296875" customWidth="1"/>
    <col min="14" max="14" width="9.453125" customWidth="1"/>
    <col min="18" max="18" width="17.90625" bestFit="1" customWidth="1"/>
    <col min="19" max="19" width="14.26953125" bestFit="1" customWidth="1"/>
    <col min="21" max="21" width="19.26953125" bestFit="1" customWidth="1"/>
    <col min="22" max="22" width="16.54296875" bestFit="1" customWidth="1"/>
    <col min="25" max="25" width="27.36328125" bestFit="1" customWidth="1"/>
    <col min="26" max="26" width="13.81640625" bestFit="1" customWidth="1"/>
    <col min="28" max="28" width="21.453125" bestFit="1" customWidth="1"/>
  </cols>
  <sheetData>
    <row r="1" spans="1:26" ht="26" x14ac:dyDescent="0.6">
      <c r="A1" s="74" t="str" cm="1">
        <f t="array" aca="1" ref="A1" ca="1">MID(CELL("nomefile",A1),FIND("]",CELL("nomefile",A1))+1,255)</f>
        <v>Novembre 2021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51"/>
    </row>
    <row r="2" spans="1:26" ht="15" customHeight="1" x14ac:dyDescent="0.35">
      <c r="D2" s="76" t="s">
        <v>44</v>
      </c>
      <c r="E2" s="76"/>
      <c r="F2" s="76"/>
      <c r="G2" s="76"/>
      <c r="H2" s="77" t="s">
        <v>45</v>
      </c>
      <c r="I2" s="77"/>
      <c r="J2" s="78" t="s">
        <v>48</v>
      </c>
      <c r="K2" s="78"/>
      <c r="L2" s="78"/>
      <c r="M2" s="78"/>
      <c r="N2" s="78"/>
      <c r="O2" s="78"/>
      <c r="P2" s="79" t="s">
        <v>8</v>
      </c>
      <c r="Q2" s="80"/>
      <c r="S2" s="1" t="s">
        <v>17</v>
      </c>
    </row>
    <row r="3" spans="1:26" ht="29.5" thickBot="1" x14ac:dyDescent="0.4">
      <c r="D3" s="19" t="s">
        <v>49</v>
      </c>
      <c r="E3" s="4" t="s">
        <v>54</v>
      </c>
      <c r="F3" s="19" t="s">
        <v>52</v>
      </c>
      <c r="G3" s="4" t="s">
        <v>0</v>
      </c>
      <c r="H3" s="5" t="s">
        <v>46</v>
      </c>
      <c r="I3" s="5" t="s">
        <v>47</v>
      </c>
      <c r="J3" s="6" t="s">
        <v>50</v>
      </c>
      <c r="K3" s="6" t="s">
        <v>11</v>
      </c>
      <c r="L3" s="6" t="s">
        <v>51</v>
      </c>
      <c r="M3" s="6" t="s">
        <v>12</v>
      </c>
      <c r="N3" s="6" t="s">
        <v>10</v>
      </c>
      <c r="O3" s="6" t="s">
        <v>0</v>
      </c>
      <c r="P3" s="7"/>
      <c r="Q3" s="7" t="s">
        <v>26</v>
      </c>
      <c r="R3" s="52" t="s">
        <v>25</v>
      </c>
      <c r="S3" s="2">
        <f>V23</f>
        <v>0</v>
      </c>
    </row>
    <row r="4" spans="1:26" ht="15" customHeight="1" x14ac:dyDescent="0.45">
      <c r="A4" s="64" t="s">
        <v>9</v>
      </c>
      <c r="B4" s="8">
        <v>44501</v>
      </c>
      <c r="C4" s="3" t="s">
        <v>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21"/>
      <c r="R4" s="20">
        <f t="shared" ref="R4:R10" si="0">SUM(D4:Q4)</f>
        <v>0</v>
      </c>
      <c r="U4" s="67" t="s">
        <v>18</v>
      </c>
      <c r="V4" s="26" t="s">
        <v>27</v>
      </c>
      <c r="W4" s="10"/>
      <c r="Y4" s="48" t="s">
        <v>40</v>
      </c>
      <c r="Z4" s="48">
        <f>SUM(W13:W21)+R12+R21+R30+R39+R48+R57</f>
        <v>0</v>
      </c>
    </row>
    <row r="5" spans="1:26" ht="15" customHeight="1" x14ac:dyDescent="0.35">
      <c r="A5" s="64"/>
      <c r="B5" s="8">
        <v>44502</v>
      </c>
      <c r="C5" s="3" t="s">
        <v>2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20"/>
      <c r="R5" s="20">
        <f t="shared" si="0"/>
        <v>0</v>
      </c>
      <c r="U5" s="68"/>
      <c r="V5" s="31"/>
      <c r="W5" s="11"/>
    </row>
    <row r="6" spans="1:26" ht="15" customHeight="1" x14ac:dyDescent="0.45">
      <c r="A6" s="64"/>
      <c r="B6" s="8">
        <v>44503</v>
      </c>
      <c r="C6" s="3" t="s">
        <v>3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20">
        <f t="shared" si="0"/>
        <v>0</v>
      </c>
      <c r="U6" s="68"/>
      <c r="V6" s="31"/>
      <c r="W6" s="11"/>
      <c r="Y6" s="48" t="s">
        <v>42</v>
      </c>
      <c r="Z6" s="48">
        <f>W11-Z4</f>
        <v>0</v>
      </c>
    </row>
    <row r="7" spans="1:26" ht="15" customHeight="1" x14ac:dyDescent="0.35">
      <c r="A7" s="64"/>
      <c r="B7" s="8">
        <v>44504</v>
      </c>
      <c r="C7" s="3" t="s">
        <v>4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20"/>
      <c r="R7" s="20">
        <f t="shared" si="0"/>
        <v>0</v>
      </c>
      <c r="U7" s="68"/>
      <c r="V7" s="31"/>
      <c r="W7" s="11"/>
    </row>
    <row r="8" spans="1:26" ht="15" customHeight="1" x14ac:dyDescent="0.35">
      <c r="A8" s="64"/>
      <c r="B8" s="8">
        <v>44505</v>
      </c>
      <c r="C8" s="3" t="s">
        <v>5</v>
      </c>
      <c r="D8" s="18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>
        <f t="shared" si="0"/>
        <v>0</v>
      </c>
      <c r="U8" s="68"/>
      <c r="V8" s="31"/>
      <c r="W8" s="11"/>
    </row>
    <row r="9" spans="1:26" ht="15" customHeight="1" x14ac:dyDescent="0.35">
      <c r="A9" s="64"/>
      <c r="B9" s="8">
        <v>44506</v>
      </c>
      <c r="C9" s="3" t="s">
        <v>6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20"/>
      <c r="R9" s="20">
        <f t="shared" si="0"/>
        <v>0</v>
      </c>
      <c r="U9" s="68"/>
      <c r="V9" s="31"/>
      <c r="W9" s="11"/>
    </row>
    <row r="10" spans="1:26" ht="15" customHeight="1" thickBot="1" x14ac:dyDescent="0.4">
      <c r="A10" s="64"/>
      <c r="B10" s="8">
        <v>44507</v>
      </c>
      <c r="C10" s="3" t="s">
        <v>7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22"/>
      <c r="R10" s="20">
        <f t="shared" si="0"/>
        <v>0</v>
      </c>
      <c r="U10" s="68"/>
      <c r="V10" s="31"/>
      <c r="W10" s="11"/>
    </row>
    <row r="11" spans="1:26" ht="15" thickBot="1" x14ac:dyDescent="0.4">
      <c r="A11" s="64"/>
      <c r="C11" s="3" t="s">
        <v>13</v>
      </c>
      <c r="D11" s="35">
        <f>SUM(D4:D10)</f>
        <v>0</v>
      </c>
      <c r="E11" s="36">
        <f t="shared" ref="E11:P11" si="1">SUM(E4:E10)</f>
        <v>0</v>
      </c>
      <c r="F11" s="36">
        <f t="shared" si="1"/>
        <v>0</v>
      </c>
      <c r="G11" s="36">
        <f t="shared" si="1"/>
        <v>0</v>
      </c>
      <c r="H11" s="37">
        <f t="shared" si="1"/>
        <v>0</v>
      </c>
      <c r="I11" s="37">
        <f t="shared" si="1"/>
        <v>0</v>
      </c>
      <c r="J11" s="38">
        <f t="shared" si="1"/>
        <v>0</v>
      </c>
      <c r="K11" s="38">
        <f t="shared" si="1"/>
        <v>0</v>
      </c>
      <c r="L11" s="38">
        <f t="shared" si="1"/>
        <v>0</v>
      </c>
      <c r="M11" s="38">
        <f t="shared" si="1"/>
        <v>0</v>
      </c>
      <c r="N11" s="38">
        <f t="shared" si="1"/>
        <v>0</v>
      </c>
      <c r="O11" s="38">
        <f t="shared" si="1"/>
        <v>0</v>
      </c>
      <c r="P11" s="23">
        <f t="shared" si="1"/>
        <v>0</v>
      </c>
      <c r="Q11" s="23">
        <f>SUM(Q4:Q10)</f>
        <v>0</v>
      </c>
      <c r="R11" s="24" t="s">
        <v>56</v>
      </c>
      <c r="S11" s="2" t="s">
        <v>21</v>
      </c>
      <c r="U11" s="69"/>
      <c r="V11" s="49" t="s">
        <v>13</v>
      </c>
      <c r="W11" s="9">
        <f>SUM(W4:W10)</f>
        <v>0</v>
      </c>
    </row>
    <row r="12" spans="1:26" ht="15" thickBot="1" x14ac:dyDescent="0.4">
      <c r="A12" s="29"/>
      <c r="C12" s="3"/>
      <c r="D12" s="70">
        <f>SUM(D11:G11)</f>
        <v>0</v>
      </c>
      <c r="E12" s="71"/>
      <c r="F12" s="71"/>
      <c r="G12" s="71"/>
      <c r="H12" s="72">
        <f>SUM(H11:I11)</f>
        <v>0</v>
      </c>
      <c r="I12" s="72"/>
      <c r="J12" s="73">
        <f>SUM(J11:O11)</f>
        <v>0</v>
      </c>
      <c r="K12" s="73"/>
      <c r="L12" s="73"/>
      <c r="M12" s="73"/>
      <c r="N12" s="73"/>
      <c r="O12" s="73"/>
      <c r="P12" s="62">
        <f>SUM(P11:Q11)</f>
        <v>0</v>
      </c>
      <c r="Q12" s="63"/>
      <c r="R12" s="9">
        <f t="shared" ref="R12:R19" si="2">SUM(D12:Q12)</f>
        <v>0</v>
      </c>
      <c r="S12" s="9">
        <f>$S$3-R12</f>
        <v>0</v>
      </c>
      <c r="U12" s="1"/>
      <c r="V12" s="1"/>
    </row>
    <row r="13" spans="1:26" x14ac:dyDescent="0.35">
      <c r="A13" s="29"/>
      <c r="B13" s="8">
        <v>44508</v>
      </c>
      <c r="C13" s="3" t="s">
        <v>1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0"/>
      <c r="Q13" s="21"/>
      <c r="R13" s="33">
        <f t="shared" si="2"/>
        <v>0</v>
      </c>
      <c r="U13" s="67" t="s">
        <v>19</v>
      </c>
      <c r="V13" s="26" t="s">
        <v>20</v>
      </c>
      <c r="W13" s="10"/>
    </row>
    <row r="14" spans="1:26" x14ac:dyDescent="0.35">
      <c r="A14" s="64" t="s">
        <v>14</v>
      </c>
      <c r="B14" s="8">
        <v>44509</v>
      </c>
      <c r="C14" s="3" t="s">
        <v>2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>
        <f t="shared" si="2"/>
        <v>0</v>
      </c>
      <c r="U14" s="68"/>
      <c r="V14" s="31" t="s">
        <v>35</v>
      </c>
      <c r="W14" s="11"/>
    </row>
    <row r="15" spans="1:26" x14ac:dyDescent="0.35">
      <c r="A15" s="64"/>
      <c r="B15" s="8">
        <v>44510</v>
      </c>
      <c r="C15" s="3" t="s">
        <v>3</v>
      </c>
      <c r="D15" s="20"/>
      <c r="E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>
        <f t="shared" si="2"/>
        <v>0</v>
      </c>
      <c r="U15" s="68"/>
      <c r="V15" s="31" t="s">
        <v>37</v>
      </c>
      <c r="W15" s="11"/>
    </row>
    <row r="16" spans="1:26" ht="15.75" customHeight="1" x14ac:dyDescent="0.35">
      <c r="A16" s="64"/>
      <c r="B16" s="8">
        <v>44511</v>
      </c>
      <c r="C16" s="3" t="s">
        <v>4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>
        <f t="shared" si="2"/>
        <v>0</v>
      </c>
      <c r="U16" s="68"/>
      <c r="V16" s="31" t="s">
        <v>38</v>
      </c>
      <c r="W16" s="11"/>
    </row>
    <row r="17" spans="1:27" x14ac:dyDescent="0.35">
      <c r="A17" s="64"/>
      <c r="B17" s="8">
        <v>44512</v>
      </c>
      <c r="C17" s="3" t="s">
        <v>5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>
        <f t="shared" si="2"/>
        <v>0</v>
      </c>
      <c r="U17" s="68"/>
      <c r="V17" s="31" t="s">
        <v>36</v>
      </c>
      <c r="W17" s="11"/>
    </row>
    <row r="18" spans="1:27" x14ac:dyDescent="0.35">
      <c r="A18" s="64"/>
      <c r="B18" s="8">
        <v>44513</v>
      </c>
      <c r="C18" s="3" t="s">
        <v>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>
        <f t="shared" si="2"/>
        <v>0</v>
      </c>
      <c r="U18" s="68"/>
      <c r="V18" s="31"/>
      <c r="W18" s="11"/>
      <c r="X18" s="13"/>
    </row>
    <row r="19" spans="1:27" ht="15.75" customHeight="1" thickBot="1" x14ac:dyDescent="0.4">
      <c r="A19" s="64"/>
      <c r="B19" s="8">
        <v>44514</v>
      </c>
      <c r="C19" s="3" t="s">
        <v>7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34">
        <f t="shared" si="2"/>
        <v>0</v>
      </c>
      <c r="U19" s="68"/>
      <c r="V19" s="45"/>
      <c r="W19" s="11"/>
      <c r="X19" s="13"/>
    </row>
    <row r="20" spans="1:27" ht="15" thickBot="1" x14ac:dyDescent="0.4">
      <c r="A20" s="64"/>
      <c r="C20" s="3" t="s">
        <v>13</v>
      </c>
      <c r="D20" s="14">
        <f t="shared" ref="D20:Q20" si="3">SUM(D13:D19)</f>
        <v>0</v>
      </c>
      <c r="E20" s="14">
        <f t="shared" si="3"/>
        <v>0</v>
      </c>
      <c r="F20" s="14">
        <f t="shared" si="3"/>
        <v>0</v>
      </c>
      <c r="G20" s="14">
        <f t="shared" si="3"/>
        <v>0</v>
      </c>
      <c r="H20" s="15">
        <f t="shared" si="3"/>
        <v>0</v>
      </c>
      <c r="I20" s="15">
        <f t="shared" si="3"/>
        <v>0</v>
      </c>
      <c r="J20" s="16">
        <f t="shared" si="3"/>
        <v>0</v>
      </c>
      <c r="K20" s="16">
        <f t="shared" si="3"/>
        <v>0</v>
      </c>
      <c r="L20" s="16">
        <f t="shared" si="3"/>
        <v>0</v>
      </c>
      <c r="M20" s="16">
        <f t="shared" si="3"/>
        <v>0</v>
      </c>
      <c r="N20" s="16">
        <f t="shared" si="3"/>
        <v>0</v>
      </c>
      <c r="O20" s="16">
        <f t="shared" si="3"/>
        <v>0</v>
      </c>
      <c r="P20" s="25">
        <f t="shared" si="3"/>
        <v>0</v>
      </c>
      <c r="Q20" s="25">
        <f t="shared" si="3"/>
        <v>0</v>
      </c>
      <c r="R20" s="24" t="s">
        <v>56</v>
      </c>
      <c r="S20" s="2" t="s">
        <v>22</v>
      </c>
      <c r="U20" s="68"/>
      <c r="V20" s="45"/>
      <c r="W20" s="11"/>
    </row>
    <row r="21" spans="1:27" ht="15" thickBot="1" x14ac:dyDescent="0.4">
      <c r="A21" s="29"/>
      <c r="C21" s="3"/>
      <c r="D21" s="71">
        <f>SUM(D20:G20)</f>
        <v>0</v>
      </c>
      <c r="E21" s="71"/>
      <c r="F21" s="71"/>
      <c r="G21" s="71"/>
      <c r="H21" s="72">
        <f>SUM(H20:I20)</f>
        <v>0</v>
      </c>
      <c r="I21" s="72"/>
      <c r="J21" s="73">
        <f>SUM(J20:O20)</f>
        <v>0</v>
      </c>
      <c r="K21" s="73"/>
      <c r="L21" s="73"/>
      <c r="M21" s="73"/>
      <c r="N21" s="73"/>
      <c r="O21" s="73"/>
      <c r="P21" s="62">
        <f>SUM(P20:Q20)</f>
        <v>0</v>
      </c>
      <c r="Q21" s="63"/>
      <c r="R21" s="9">
        <f t="shared" ref="R21:R28" si="4">SUM(D21:Q21)</f>
        <v>0</v>
      </c>
      <c r="S21" s="9">
        <f>S12-R21</f>
        <v>0</v>
      </c>
      <c r="U21" s="69"/>
      <c r="V21" s="46"/>
      <c r="W21" s="47"/>
      <c r="X21" s="13"/>
    </row>
    <row r="22" spans="1:27" ht="15" thickBot="1" x14ac:dyDescent="0.4">
      <c r="A22" s="29"/>
      <c r="B22" s="8">
        <v>44515</v>
      </c>
      <c r="C22" s="3" t="s">
        <v>1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0"/>
      <c r="Q22" s="21"/>
      <c r="R22" s="33">
        <f t="shared" si="4"/>
        <v>0</v>
      </c>
      <c r="Z22" t="s">
        <v>44</v>
      </c>
      <c r="AA22">
        <f>D59</f>
        <v>0</v>
      </c>
    </row>
    <row r="23" spans="1:27" ht="15" thickBot="1" x14ac:dyDescent="0.4">
      <c r="A23" s="64" t="s">
        <v>15</v>
      </c>
      <c r="B23" s="8">
        <v>44516</v>
      </c>
      <c r="C23" s="3" t="s">
        <v>2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>
        <f t="shared" si="4"/>
        <v>0</v>
      </c>
      <c r="U23" s="12" t="s">
        <v>17</v>
      </c>
      <c r="V23" s="65">
        <f t="shared" ref="V23" si="5">W11-SUM(W13:W21)</f>
        <v>0</v>
      </c>
      <c r="W23" s="66"/>
      <c r="Z23" t="s">
        <v>45</v>
      </c>
      <c r="AA23">
        <f>H59</f>
        <v>0</v>
      </c>
    </row>
    <row r="24" spans="1:27" x14ac:dyDescent="0.35">
      <c r="A24" s="64"/>
      <c r="B24" s="8">
        <v>44517</v>
      </c>
      <c r="C24" s="3" t="s">
        <v>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>
        <f t="shared" si="4"/>
        <v>0</v>
      </c>
      <c r="Z24" t="s">
        <v>48</v>
      </c>
      <c r="AA24">
        <f>J59</f>
        <v>0</v>
      </c>
    </row>
    <row r="25" spans="1:27" x14ac:dyDescent="0.35">
      <c r="A25" s="64"/>
      <c r="B25" s="8">
        <v>44518</v>
      </c>
      <c r="C25" s="3" t="s">
        <v>4</v>
      </c>
      <c r="D25" s="20"/>
      <c r="E25" s="20"/>
      <c r="F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>
        <f t="shared" si="4"/>
        <v>0</v>
      </c>
      <c r="U25">
        <f>S3-S48</f>
        <v>0</v>
      </c>
      <c r="Z25" t="s">
        <v>53</v>
      </c>
      <c r="AA25">
        <f>P59</f>
        <v>0</v>
      </c>
    </row>
    <row r="26" spans="1:27" x14ac:dyDescent="0.35">
      <c r="A26" s="64"/>
      <c r="B26" s="8">
        <v>44519</v>
      </c>
      <c r="C26" s="3" t="s">
        <v>5</v>
      </c>
      <c r="D26" s="20"/>
      <c r="E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>
        <f t="shared" si="4"/>
        <v>0</v>
      </c>
      <c r="Z26" t="s">
        <v>83</v>
      </c>
      <c r="AA26">
        <f>W13</f>
        <v>0</v>
      </c>
    </row>
    <row r="27" spans="1:27" x14ac:dyDescent="0.35">
      <c r="A27" s="64"/>
      <c r="B27" s="8">
        <v>44520</v>
      </c>
      <c r="C27" s="3" t="s">
        <v>6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>
        <f t="shared" si="4"/>
        <v>0</v>
      </c>
      <c r="Z27" t="s">
        <v>84</v>
      </c>
      <c r="AA27">
        <f>SUM(W14:W17)</f>
        <v>0</v>
      </c>
    </row>
    <row r="28" spans="1:27" ht="15" customHeight="1" thickBot="1" x14ac:dyDescent="0.4">
      <c r="A28" s="64"/>
      <c r="B28" s="8">
        <v>44521</v>
      </c>
      <c r="C28" s="3" t="s">
        <v>7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34">
        <f t="shared" si="4"/>
        <v>0</v>
      </c>
    </row>
    <row r="29" spans="1:27" ht="15" thickBot="1" x14ac:dyDescent="0.4">
      <c r="A29" s="64"/>
      <c r="C29" s="3" t="s">
        <v>13</v>
      </c>
      <c r="D29" s="14">
        <f t="shared" ref="D29:Q29" si="6">SUM(D22:D28)</f>
        <v>0</v>
      </c>
      <c r="E29" s="14">
        <f>SUM(E22:E28)</f>
        <v>0</v>
      </c>
      <c r="F29" s="14">
        <f t="shared" si="6"/>
        <v>0</v>
      </c>
      <c r="G29" s="14">
        <f t="shared" si="6"/>
        <v>0</v>
      </c>
      <c r="H29" s="15">
        <f t="shared" si="6"/>
        <v>0</v>
      </c>
      <c r="I29" s="15">
        <f t="shared" si="6"/>
        <v>0</v>
      </c>
      <c r="J29" s="16">
        <f t="shared" si="6"/>
        <v>0</v>
      </c>
      <c r="K29" s="16">
        <f t="shared" si="6"/>
        <v>0</v>
      </c>
      <c r="L29" s="16">
        <f t="shared" si="6"/>
        <v>0</v>
      </c>
      <c r="M29" s="16">
        <f t="shared" si="6"/>
        <v>0</v>
      </c>
      <c r="N29" s="16">
        <f t="shared" si="6"/>
        <v>0</v>
      </c>
      <c r="O29" s="16">
        <f t="shared" si="6"/>
        <v>0</v>
      </c>
      <c r="P29" s="23">
        <f t="shared" si="6"/>
        <v>0</v>
      </c>
      <c r="Q29" s="23">
        <f t="shared" si="6"/>
        <v>0</v>
      </c>
      <c r="R29" s="24" t="s">
        <v>56</v>
      </c>
      <c r="S29" s="2" t="s">
        <v>23</v>
      </c>
    </row>
    <row r="30" spans="1:27" ht="15" thickBot="1" x14ac:dyDescent="0.4">
      <c r="A30" s="29"/>
      <c r="C30" s="3"/>
      <c r="D30" s="54">
        <f>SUM(D29:G29)</f>
        <v>0</v>
      </c>
      <c r="E30" s="55"/>
      <c r="F30" s="55"/>
      <c r="G30" s="56"/>
      <c r="H30" s="57">
        <f>SUM(H29:I29)</f>
        <v>0</v>
      </c>
      <c r="I30" s="58"/>
      <c r="J30" s="59">
        <f>SUM(J29:O29)</f>
        <v>0</v>
      </c>
      <c r="K30" s="60"/>
      <c r="L30" s="60"/>
      <c r="M30" s="60"/>
      <c r="N30" s="60"/>
      <c r="O30" s="61"/>
      <c r="P30" s="62">
        <f>SUM(P29:Q29)</f>
        <v>0</v>
      </c>
      <c r="Q30" s="63"/>
      <c r="R30" s="9">
        <f t="shared" ref="R30:R37" si="7">SUM(D30:Q30)</f>
        <v>0</v>
      </c>
      <c r="S30" s="9">
        <f>S21-R30</f>
        <v>0</v>
      </c>
    </row>
    <row r="31" spans="1:27" x14ac:dyDescent="0.35">
      <c r="A31" s="29"/>
      <c r="B31" s="8">
        <v>44522</v>
      </c>
      <c r="C31" s="3" t="s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0"/>
      <c r="Q31" s="21"/>
      <c r="R31" s="33">
        <f t="shared" si="7"/>
        <v>0</v>
      </c>
    </row>
    <row r="32" spans="1:27" x14ac:dyDescent="0.35">
      <c r="A32" s="64" t="s">
        <v>16</v>
      </c>
      <c r="B32" s="8">
        <v>44523</v>
      </c>
      <c r="C32" s="3" t="s">
        <v>2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>
        <f t="shared" si="7"/>
        <v>0</v>
      </c>
    </row>
    <row r="33" spans="1:19" x14ac:dyDescent="0.35">
      <c r="A33" s="64"/>
      <c r="B33" s="8">
        <v>44524</v>
      </c>
      <c r="C33" s="3" t="s">
        <v>3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>
        <f t="shared" si="7"/>
        <v>0</v>
      </c>
    </row>
    <row r="34" spans="1:19" x14ac:dyDescent="0.35">
      <c r="A34" s="64"/>
      <c r="B34" s="8">
        <v>44525</v>
      </c>
      <c r="C34" s="3" t="s">
        <v>4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>
        <f t="shared" si="7"/>
        <v>0</v>
      </c>
    </row>
    <row r="35" spans="1:19" x14ac:dyDescent="0.35">
      <c r="A35" s="64"/>
      <c r="B35" s="8">
        <v>44526</v>
      </c>
      <c r="C35" s="3" t="s">
        <v>5</v>
      </c>
      <c r="D35" s="20"/>
      <c r="F35" s="20"/>
      <c r="G35" s="20"/>
      <c r="H35" s="20"/>
      <c r="J35" s="20"/>
      <c r="K35" s="20"/>
      <c r="L35" s="20"/>
      <c r="N35" s="20"/>
      <c r="O35" s="20"/>
      <c r="P35" s="20"/>
      <c r="Q35" s="20"/>
      <c r="R35" s="20">
        <f t="shared" si="7"/>
        <v>0</v>
      </c>
    </row>
    <row r="36" spans="1:19" x14ac:dyDescent="0.35">
      <c r="A36" s="64"/>
      <c r="B36" s="8">
        <v>44527</v>
      </c>
      <c r="C36" s="3" t="s">
        <v>6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>
        <f t="shared" si="7"/>
        <v>0</v>
      </c>
    </row>
    <row r="37" spans="1:19" ht="15" customHeight="1" thickBot="1" x14ac:dyDescent="0.4">
      <c r="A37" s="64"/>
      <c r="B37" s="8">
        <v>44528</v>
      </c>
      <c r="C37" s="3" t="s">
        <v>7</v>
      </c>
      <c r="D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34">
        <f t="shared" si="7"/>
        <v>0</v>
      </c>
    </row>
    <row r="38" spans="1:19" ht="15" thickBot="1" x14ac:dyDescent="0.4">
      <c r="A38" s="64"/>
      <c r="C38" s="3" t="s">
        <v>13</v>
      </c>
      <c r="D38" s="14">
        <f>SUM(D31:D37)</f>
        <v>0</v>
      </c>
      <c r="E38" s="14">
        <f t="shared" ref="E38:Q38" si="8">SUM(E31:E37)</f>
        <v>0</v>
      </c>
      <c r="F38" s="14">
        <f t="shared" si="8"/>
        <v>0</v>
      </c>
      <c r="G38" s="14">
        <f t="shared" si="8"/>
        <v>0</v>
      </c>
      <c r="H38" s="15">
        <f t="shared" si="8"/>
        <v>0</v>
      </c>
      <c r="I38" s="15">
        <f t="shared" si="8"/>
        <v>0</v>
      </c>
      <c r="J38" s="16">
        <f t="shared" si="8"/>
        <v>0</v>
      </c>
      <c r="K38" s="16">
        <f t="shared" si="8"/>
        <v>0</v>
      </c>
      <c r="L38" s="16">
        <f t="shared" si="8"/>
        <v>0</v>
      </c>
      <c r="M38" s="16">
        <f t="shared" si="8"/>
        <v>0</v>
      </c>
      <c r="N38" s="16">
        <f t="shared" si="8"/>
        <v>0</v>
      </c>
      <c r="O38" s="16">
        <f t="shared" si="8"/>
        <v>0</v>
      </c>
      <c r="P38" s="25">
        <f t="shared" si="8"/>
        <v>0</v>
      </c>
      <c r="Q38" s="25">
        <f t="shared" si="8"/>
        <v>0</v>
      </c>
      <c r="R38" s="24" t="s">
        <v>56</v>
      </c>
      <c r="S38" s="2" t="s">
        <v>24</v>
      </c>
    </row>
    <row r="39" spans="1:19" ht="15" thickBot="1" x14ac:dyDescent="0.4">
      <c r="A39" s="29"/>
      <c r="C39" s="3"/>
      <c r="D39" s="54">
        <f t="shared" ref="D39" si="9">SUM(D38:G38)</f>
        <v>0</v>
      </c>
      <c r="E39" s="55"/>
      <c r="F39" s="55"/>
      <c r="G39" s="56"/>
      <c r="H39" s="57">
        <f>SUM(H38:I38)</f>
        <v>0</v>
      </c>
      <c r="I39" s="58"/>
      <c r="J39" s="59">
        <f>SUM(J38:O38)</f>
        <v>0</v>
      </c>
      <c r="K39" s="60"/>
      <c r="L39" s="60"/>
      <c r="M39" s="60"/>
      <c r="N39" s="60"/>
      <c r="O39" s="61"/>
      <c r="P39" s="62">
        <f>SUM(P38:Q38)</f>
        <v>0</v>
      </c>
      <c r="Q39" s="63"/>
      <c r="R39" s="9">
        <f t="shared" ref="R39:R46" si="10">SUM(D39:Q39)</f>
        <v>0</v>
      </c>
      <c r="S39" s="9">
        <f>S30-R39</f>
        <v>0</v>
      </c>
    </row>
    <row r="40" spans="1:19" x14ac:dyDescent="0.35">
      <c r="A40" s="29"/>
      <c r="B40" s="8">
        <v>44529</v>
      </c>
      <c r="C40" s="3" t="s">
        <v>1</v>
      </c>
      <c r="D40" s="27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33">
        <f t="shared" si="10"/>
        <v>0</v>
      </c>
    </row>
    <row r="41" spans="1:19" ht="15" customHeight="1" x14ac:dyDescent="0.35">
      <c r="A41" s="64" t="s">
        <v>29</v>
      </c>
      <c r="B41" s="8">
        <v>44530</v>
      </c>
      <c r="C41" s="3" t="s">
        <v>2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>
        <f t="shared" si="10"/>
        <v>0</v>
      </c>
    </row>
    <row r="42" spans="1:19" x14ac:dyDescent="0.35">
      <c r="A42" s="64"/>
      <c r="B42" s="8" t="s">
        <v>33</v>
      </c>
      <c r="C42" s="3" t="s">
        <v>3</v>
      </c>
      <c r="D42" s="28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>
        <f t="shared" si="10"/>
        <v>0</v>
      </c>
    </row>
    <row r="43" spans="1:19" x14ac:dyDescent="0.35">
      <c r="A43" s="64"/>
      <c r="B43" s="8" t="s">
        <v>33</v>
      </c>
      <c r="C43" s="3" t="s">
        <v>4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>
        <f t="shared" si="10"/>
        <v>0</v>
      </c>
    </row>
    <row r="44" spans="1:19" ht="16.5" customHeight="1" x14ac:dyDescent="0.35">
      <c r="A44" s="64"/>
      <c r="B44" s="8" t="s">
        <v>33</v>
      </c>
      <c r="C44" s="3" t="s">
        <v>5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>
        <f t="shared" si="10"/>
        <v>0</v>
      </c>
    </row>
    <row r="45" spans="1:19" x14ac:dyDescent="0.35">
      <c r="A45" s="64"/>
      <c r="B45" s="8" t="s">
        <v>33</v>
      </c>
      <c r="C45" s="3" t="s">
        <v>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>
        <f t="shared" si="10"/>
        <v>0</v>
      </c>
    </row>
    <row r="46" spans="1:19" ht="15" thickBot="1" x14ac:dyDescent="0.4">
      <c r="A46" s="50"/>
      <c r="B46" s="8" t="s">
        <v>33</v>
      </c>
      <c r="C46" s="3" t="s">
        <v>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34">
        <f t="shared" si="10"/>
        <v>0</v>
      </c>
    </row>
    <row r="47" spans="1:19" ht="15" thickBot="1" x14ac:dyDescent="0.4">
      <c r="A47" s="50"/>
      <c r="B47" s="8"/>
      <c r="C47" s="3" t="s">
        <v>13</v>
      </c>
      <c r="D47" s="14">
        <f t="shared" ref="D47:Q47" si="11">SUM(D40:D46)</f>
        <v>0</v>
      </c>
      <c r="E47" s="14">
        <f t="shared" si="11"/>
        <v>0</v>
      </c>
      <c r="F47" s="14">
        <f t="shared" si="11"/>
        <v>0</v>
      </c>
      <c r="G47" s="14">
        <f t="shared" si="11"/>
        <v>0</v>
      </c>
      <c r="H47" s="15">
        <f t="shared" si="11"/>
        <v>0</v>
      </c>
      <c r="I47" s="15">
        <f t="shared" si="11"/>
        <v>0</v>
      </c>
      <c r="J47" s="16">
        <f t="shared" si="11"/>
        <v>0</v>
      </c>
      <c r="K47" s="16">
        <f t="shared" si="11"/>
        <v>0</v>
      </c>
      <c r="L47" s="16">
        <f t="shared" si="11"/>
        <v>0</v>
      </c>
      <c r="M47" s="16">
        <f t="shared" si="11"/>
        <v>0</v>
      </c>
      <c r="N47" s="16">
        <f t="shared" si="11"/>
        <v>0</v>
      </c>
      <c r="O47" s="16">
        <f t="shared" si="11"/>
        <v>0</v>
      </c>
      <c r="P47" s="17">
        <f t="shared" si="11"/>
        <v>0</v>
      </c>
      <c r="Q47" s="17">
        <f t="shared" si="11"/>
        <v>0</v>
      </c>
      <c r="R47" s="24" t="s">
        <v>56</v>
      </c>
      <c r="S47" s="2" t="s">
        <v>28</v>
      </c>
    </row>
    <row r="48" spans="1:19" ht="15" thickBot="1" x14ac:dyDescent="0.4">
      <c r="B48" s="8"/>
      <c r="C48" s="3"/>
      <c r="D48" s="54">
        <f>SUM(D47:G47)</f>
        <v>0</v>
      </c>
      <c r="E48" s="55"/>
      <c r="F48" s="55"/>
      <c r="G48" s="56"/>
      <c r="H48" s="57">
        <f>SUM(H47:I47)</f>
        <v>0</v>
      </c>
      <c r="I48" s="58"/>
      <c r="J48" s="59">
        <f>SUM(J47:O47)</f>
        <v>0</v>
      </c>
      <c r="K48" s="60"/>
      <c r="L48" s="60"/>
      <c r="M48" s="60"/>
      <c r="N48" s="60"/>
      <c r="O48" s="61"/>
      <c r="P48" s="62">
        <f>SUM(P47:Q47)</f>
        <v>0</v>
      </c>
      <c r="Q48" s="63"/>
      <c r="R48" s="9">
        <f t="shared" ref="R48:R55" si="12">SUM(D48:Q48)</f>
        <v>0</v>
      </c>
      <c r="S48" s="9">
        <f>S39-R48</f>
        <v>0</v>
      </c>
    </row>
    <row r="49" spans="1:19" ht="15.75" customHeight="1" x14ac:dyDescent="0.35">
      <c r="A49" s="64" t="s">
        <v>30</v>
      </c>
      <c r="B49" s="8" t="s">
        <v>33</v>
      </c>
      <c r="C49" s="32" t="s">
        <v>1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33">
        <f t="shared" si="12"/>
        <v>0</v>
      </c>
    </row>
    <row r="50" spans="1:19" ht="15.75" customHeight="1" x14ac:dyDescent="0.35">
      <c r="A50" s="64"/>
      <c r="B50" s="8" t="s">
        <v>33</v>
      </c>
      <c r="C50" s="32" t="s">
        <v>2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>
        <f t="shared" si="12"/>
        <v>0</v>
      </c>
    </row>
    <row r="51" spans="1:19" ht="15.75" customHeight="1" x14ac:dyDescent="0.35">
      <c r="A51" s="64"/>
      <c r="B51" s="8" t="s">
        <v>33</v>
      </c>
      <c r="C51" s="32" t="s">
        <v>3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>
        <f t="shared" si="12"/>
        <v>0</v>
      </c>
    </row>
    <row r="52" spans="1:19" ht="15.75" customHeight="1" x14ac:dyDescent="0.35">
      <c r="A52" s="64"/>
      <c r="B52" s="8" t="s">
        <v>33</v>
      </c>
      <c r="C52" s="32" t="s">
        <v>4</v>
      </c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>
        <f t="shared" si="12"/>
        <v>0</v>
      </c>
    </row>
    <row r="53" spans="1:19" ht="15.75" customHeight="1" x14ac:dyDescent="0.35">
      <c r="A53" s="64"/>
      <c r="B53" s="8" t="s">
        <v>33</v>
      </c>
      <c r="C53" s="32" t="s">
        <v>5</v>
      </c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>
        <f t="shared" si="12"/>
        <v>0</v>
      </c>
    </row>
    <row r="54" spans="1:19" ht="15.75" customHeight="1" x14ac:dyDescent="0.35">
      <c r="A54" s="64"/>
      <c r="B54" s="8" t="s">
        <v>33</v>
      </c>
      <c r="C54" s="32" t="s">
        <v>6</v>
      </c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>
        <f t="shared" si="12"/>
        <v>0</v>
      </c>
    </row>
    <row r="55" spans="1:19" ht="15.75" customHeight="1" thickBot="1" x14ac:dyDescent="0.4">
      <c r="A55" s="64"/>
      <c r="B55" s="8" t="s">
        <v>33</v>
      </c>
      <c r="C55" s="32" t="s">
        <v>7</v>
      </c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0">
        <f t="shared" si="12"/>
        <v>0</v>
      </c>
    </row>
    <row r="56" spans="1:19" ht="15" thickBot="1" x14ac:dyDescent="0.4">
      <c r="A56" s="29"/>
      <c r="B56" s="8"/>
      <c r="C56" s="3" t="s">
        <v>13</v>
      </c>
      <c r="D56" s="39">
        <f t="shared" ref="D56:F56" si="13">SUM(D49:D55)</f>
        <v>0</v>
      </c>
      <c r="E56" s="39">
        <f t="shared" si="13"/>
        <v>0</v>
      </c>
      <c r="F56" s="39">
        <f t="shared" si="13"/>
        <v>0</v>
      </c>
      <c r="G56" s="39">
        <f>SUM(G49:G55)</f>
        <v>0</v>
      </c>
      <c r="H56" s="37">
        <f t="shared" ref="H56:Q56" si="14">SUM(H49:H55)</f>
        <v>0</v>
      </c>
      <c r="I56" s="37">
        <f t="shared" si="14"/>
        <v>0</v>
      </c>
      <c r="J56" s="38">
        <f t="shared" si="14"/>
        <v>0</v>
      </c>
      <c r="K56" s="38">
        <f t="shared" si="14"/>
        <v>0</v>
      </c>
      <c r="L56" s="38">
        <f t="shared" si="14"/>
        <v>0</v>
      </c>
      <c r="M56" s="38">
        <f t="shared" si="14"/>
        <v>0</v>
      </c>
      <c r="N56" s="38">
        <f t="shared" si="14"/>
        <v>0</v>
      </c>
      <c r="O56" s="38">
        <f t="shared" si="14"/>
        <v>0</v>
      </c>
      <c r="P56" s="40">
        <f t="shared" si="14"/>
        <v>0</v>
      </c>
      <c r="Q56" s="40">
        <f t="shared" si="14"/>
        <v>0</v>
      </c>
      <c r="R56" s="24" t="s">
        <v>56</v>
      </c>
      <c r="S56" s="2" t="s">
        <v>39</v>
      </c>
    </row>
    <row r="57" spans="1:19" ht="15" thickBot="1" x14ac:dyDescent="0.4">
      <c r="A57" s="29"/>
      <c r="C57" s="3"/>
      <c r="D57" s="54">
        <f>SUM(D56:G56)</f>
        <v>0</v>
      </c>
      <c r="E57" s="55"/>
      <c r="F57" s="55"/>
      <c r="G57" s="56"/>
      <c r="H57" s="57">
        <f>SUM(H56:I56)</f>
        <v>0</v>
      </c>
      <c r="I57" s="58"/>
      <c r="J57" s="59">
        <f>SUM(J56:O56)</f>
        <v>0</v>
      </c>
      <c r="K57" s="60"/>
      <c r="L57" s="60"/>
      <c r="M57" s="60"/>
      <c r="N57" s="60"/>
      <c r="O57" s="61"/>
      <c r="P57" s="62">
        <f>SUM(P56:Q56)</f>
        <v>0</v>
      </c>
      <c r="Q57" s="63"/>
      <c r="R57" s="9">
        <f>SUM(D57:Q57)</f>
        <v>0</v>
      </c>
      <c r="S57" s="9">
        <f>S48-R57</f>
        <v>0</v>
      </c>
    </row>
    <row r="58" spans="1:19" x14ac:dyDescent="0.35">
      <c r="A58" s="29"/>
    </row>
    <row r="59" spans="1:19" x14ac:dyDescent="0.35">
      <c r="A59" s="29"/>
      <c r="B59" t="s">
        <v>55</v>
      </c>
      <c r="D59" s="54">
        <f t="shared" ref="D59" si="15">D12+D21+D30+D39+D48+D57</f>
        <v>0</v>
      </c>
      <c r="E59" s="55"/>
      <c r="F59" s="55"/>
      <c r="G59" s="56"/>
      <c r="H59" s="57">
        <f t="shared" ref="H59" si="16">H12+H21+H30+H39+H48+H57</f>
        <v>0</v>
      </c>
      <c r="I59" s="58"/>
      <c r="J59" s="59">
        <f t="shared" ref="J59" si="17">J12+J21+J30+J39+J48+J57</f>
        <v>0</v>
      </c>
      <c r="K59" s="60"/>
      <c r="L59" s="60"/>
      <c r="M59" s="60"/>
      <c r="N59" s="60"/>
      <c r="O59" s="61"/>
      <c r="P59" s="62">
        <f t="shared" ref="P59" si="18">P12+P21+P30+P39+P48+P57</f>
        <v>0</v>
      </c>
      <c r="Q59" s="63"/>
      <c r="R59">
        <f>R12+R21+R30+R39+R48+R57</f>
        <v>0</v>
      </c>
    </row>
  </sheetData>
  <mergeCells count="42">
    <mergeCell ref="A1:P1"/>
    <mergeCell ref="D2:G2"/>
    <mergeCell ref="H2:I2"/>
    <mergeCell ref="J2:O2"/>
    <mergeCell ref="P2:Q2"/>
    <mergeCell ref="P21:Q21"/>
    <mergeCell ref="A23:A29"/>
    <mergeCell ref="U4:U11"/>
    <mergeCell ref="D12:G12"/>
    <mergeCell ref="H12:I12"/>
    <mergeCell ref="J12:O12"/>
    <mergeCell ref="P12:Q12"/>
    <mergeCell ref="U13:U21"/>
    <mergeCell ref="A4:A11"/>
    <mergeCell ref="A32:A38"/>
    <mergeCell ref="A14:A20"/>
    <mergeCell ref="D21:G21"/>
    <mergeCell ref="H21:I21"/>
    <mergeCell ref="J21:O21"/>
    <mergeCell ref="V23:W23"/>
    <mergeCell ref="D30:G30"/>
    <mergeCell ref="H30:I30"/>
    <mergeCell ref="J30:O30"/>
    <mergeCell ref="P30:Q30"/>
    <mergeCell ref="A41:A45"/>
    <mergeCell ref="D48:G48"/>
    <mergeCell ref="H48:I48"/>
    <mergeCell ref="J48:O48"/>
    <mergeCell ref="P48:Q48"/>
    <mergeCell ref="D59:G59"/>
    <mergeCell ref="H59:I59"/>
    <mergeCell ref="J59:O59"/>
    <mergeCell ref="P59:Q59"/>
    <mergeCell ref="D39:G39"/>
    <mergeCell ref="H39:I39"/>
    <mergeCell ref="J39:O39"/>
    <mergeCell ref="P39:Q39"/>
    <mergeCell ref="A49:A55"/>
    <mergeCell ref="D57:G57"/>
    <mergeCell ref="H57:I57"/>
    <mergeCell ref="J57:O57"/>
    <mergeCell ref="P57:Q57"/>
  </mergeCells>
  <conditionalFormatting sqref="Z6">
    <cfRule type="cellIs" dxfId="7" priority="1" operator="lessThan">
      <formula>-200</formula>
    </cfRule>
    <cfRule type="cellIs" dxfId="6" priority="2" operator="between">
      <formula>-200</formula>
      <formula>0</formula>
    </cfRule>
    <cfRule type="cellIs" dxfId="5" priority="3" operator="between">
      <formula>0</formula>
      <formula>200</formula>
    </cfRule>
    <cfRule type="cellIs" dxfId="4" priority="4" operator="greaterThan">
      <formula>200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0DDF3-65B2-4BBC-BCC3-760585C50521}">
  <sheetPr codeName="Foglio12"/>
  <dimension ref="A1:AA59"/>
  <sheetViews>
    <sheetView zoomScale="55" zoomScaleNormal="55" workbookViewId="0">
      <pane xSplit="3" ySplit="3" topLeftCell="S13" activePane="bottomRight" state="frozen"/>
      <selection pane="topRight" activeCell="D1" sqref="D1"/>
      <selection pane="bottomLeft" activeCell="A4" sqref="A4"/>
      <selection pane="bottomRight" activeCell="Z22" sqref="Z22:AA27"/>
    </sheetView>
  </sheetViews>
  <sheetFormatPr defaultRowHeight="14.5" x14ac:dyDescent="0.35"/>
  <cols>
    <col min="1" max="1" width="3.7265625" bestFit="1" customWidth="1"/>
    <col min="2" max="2" width="12.453125" bestFit="1" customWidth="1"/>
    <col min="3" max="3" width="7.54296875" bestFit="1" customWidth="1"/>
    <col min="4" max="4" width="11" bestFit="1" customWidth="1"/>
    <col min="5" max="5" width="13.6328125" bestFit="1" customWidth="1"/>
    <col min="6" max="6" width="13.26953125" bestFit="1" customWidth="1"/>
    <col min="10" max="10" width="8.1796875" bestFit="1" customWidth="1"/>
    <col min="11" max="11" width="10" bestFit="1" customWidth="1"/>
    <col min="12" max="12" width="9.54296875" customWidth="1"/>
    <col min="14" max="14" width="9.453125" customWidth="1"/>
    <col min="18" max="18" width="17.90625" bestFit="1" customWidth="1"/>
    <col min="19" max="19" width="14.26953125" bestFit="1" customWidth="1"/>
    <col min="21" max="21" width="19.26953125" bestFit="1" customWidth="1"/>
    <col min="22" max="22" width="16.54296875" bestFit="1" customWidth="1"/>
    <col min="25" max="25" width="27.36328125" bestFit="1" customWidth="1"/>
    <col min="26" max="26" width="13.81640625" bestFit="1" customWidth="1"/>
    <col min="28" max="28" width="21.453125" bestFit="1" customWidth="1"/>
  </cols>
  <sheetData>
    <row r="1" spans="1:26" ht="26" x14ac:dyDescent="0.6">
      <c r="A1" s="74" t="str" cm="1">
        <f t="array" aca="1" ref="A1" ca="1">MID(CELL("nomefile",A1),FIND("]",CELL("nomefile",A1))+1,255)</f>
        <v>Dicembre 2021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51"/>
    </row>
    <row r="2" spans="1:26" ht="15" customHeight="1" x14ac:dyDescent="0.35">
      <c r="D2" s="76" t="s">
        <v>44</v>
      </c>
      <c r="E2" s="76"/>
      <c r="F2" s="76"/>
      <c r="G2" s="76"/>
      <c r="H2" s="77" t="s">
        <v>45</v>
      </c>
      <c r="I2" s="77"/>
      <c r="J2" s="78" t="s">
        <v>48</v>
      </c>
      <c r="K2" s="78"/>
      <c r="L2" s="78"/>
      <c r="M2" s="78"/>
      <c r="N2" s="78"/>
      <c r="O2" s="78"/>
      <c r="P2" s="79" t="s">
        <v>8</v>
      </c>
      <c r="Q2" s="80"/>
      <c r="S2" s="1" t="s">
        <v>17</v>
      </c>
    </row>
    <row r="3" spans="1:26" ht="29.5" thickBot="1" x14ac:dyDescent="0.4">
      <c r="D3" s="19" t="s">
        <v>49</v>
      </c>
      <c r="E3" s="4" t="s">
        <v>54</v>
      </c>
      <c r="F3" s="19" t="s">
        <v>52</v>
      </c>
      <c r="G3" s="4" t="s">
        <v>0</v>
      </c>
      <c r="H3" s="5" t="s">
        <v>46</v>
      </c>
      <c r="I3" s="5" t="s">
        <v>47</v>
      </c>
      <c r="J3" s="6" t="s">
        <v>50</v>
      </c>
      <c r="K3" s="6" t="s">
        <v>11</v>
      </c>
      <c r="L3" s="6" t="s">
        <v>51</v>
      </c>
      <c r="M3" s="6" t="s">
        <v>12</v>
      </c>
      <c r="N3" s="6" t="s">
        <v>10</v>
      </c>
      <c r="O3" s="6" t="s">
        <v>0</v>
      </c>
      <c r="P3" s="7"/>
      <c r="Q3" s="7" t="s">
        <v>26</v>
      </c>
      <c r="R3" s="52" t="s">
        <v>25</v>
      </c>
      <c r="S3" s="2">
        <f>V23</f>
        <v>0</v>
      </c>
    </row>
    <row r="4" spans="1:26" ht="15" customHeight="1" x14ac:dyDescent="0.45">
      <c r="A4" s="64" t="s">
        <v>9</v>
      </c>
      <c r="B4" s="8" t="s">
        <v>33</v>
      </c>
      <c r="C4" s="3" t="s">
        <v>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21"/>
      <c r="R4" s="20">
        <f t="shared" ref="R4:R10" si="0">SUM(D4:Q4)</f>
        <v>0</v>
      </c>
      <c r="U4" s="67" t="s">
        <v>18</v>
      </c>
      <c r="V4" s="26" t="s">
        <v>27</v>
      </c>
      <c r="W4" s="10"/>
      <c r="Y4" s="48" t="s">
        <v>40</v>
      </c>
      <c r="Z4" s="48">
        <f>SUM(W13:W21)+R12+R21+R30+R39+R48+R57</f>
        <v>0</v>
      </c>
    </row>
    <row r="5" spans="1:26" ht="15" customHeight="1" x14ac:dyDescent="0.35">
      <c r="A5" s="64"/>
      <c r="B5" s="8" t="s">
        <v>33</v>
      </c>
      <c r="C5" s="3" t="s">
        <v>2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20"/>
      <c r="R5" s="20">
        <f t="shared" si="0"/>
        <v>0</v>
      </c>
      <c r="U5" s="68"/>
      <c r="V5" s="31"/>
      <c r="W5" s="11"/>
    </row>
    <row r="6" spans="1:26" ht="15" customHeight="1" x14ac:dyDescent="0.45">
      <c r="A6" s="64"/>
      <c r="B6" s="8">
        <v>44531</v>
      </c>
      <c r="C6" s="3" t="s">
        <v>3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20">
        <f t="shared" si="0"/>
        <v>0</v>
      </c>
      <c r="U6" s="68"/>
      <c r="V6" s="31"/>
      <c r="W6" s="11"/>
      <c r="Y6" s="48" t="s">
        <v>42</v>
      </c>
      <c r="Z6" s="48">
        <f>W11-Z4</f>
        <v>0</v>
      </c>
    </row>
    <row r="7" spans="1:26" ht="15" customHeight="1" x14ac:dyDescent="0.35">
      <c r="A7" s="64"/>
      <c r="B7" s="8">
        <v>44532</v>
      </c>
      <c r="C7" s="3" t="s">
        <v>4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20"/>
      <c r="R7" s="20">
        <f t="shared" si="0"/>
        <v>0</v>
      </c>
      <c r="U7" s="68"/>
      <c r="V7" s="31"/>
      <c r="W7" s="11"/>
    </row>
    <row r="8" spans="1:26" ht="15" customHeight="1" x14ac:dyDescent="0.35">
      <c r="A8" s="64"/>
      <c r="B8" s="8">
        <v>44533</v>
      </c>
      <c r="C8" s="3" t="s">
        <v>5</v>
      </c>
      <c r="D8" s="18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>
        <f t="shared" si="0"/>
        <v>0</v>
      </c>
      <c r="U8" s="68"/>
      <c r="V8" s="31"/>
      <c r="W8" s="11"/>
    </row>
    <row r="9" spans="1:26" ht="15" customHeight="1" x14ac:dyDescent="0.35">
      <c r="A9" s="64"/>
      <c r="B9" s="8">
        <v>44534</v>
      </c>
      <c r="C9" s="3" t="s">
        <v>6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20"/>
      <c r="R9" s="20">
        <f t="shared" si="0"/>
        <v>0</v>
      </c>
      <c r="U9" s="68"/>
      <c r="V9" s="31"/>
      <c r="W9" s="11"/>
    </row>
    <row r="10" spans="1:26" ht="15" customHeight="1" thickBot="1" x14ac:dyDescent="0.4">
      <c r="A10" s="64"/>
      <c r="B10" s="8">
        <v>44535</v>
      </c>
      <c r="C10" s="3" t="s">
        <v>7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22"/>
      <c r="R10" s="20">
        <f t="shared" si="0"/>
        <v>0</v>
      </c>
      <c r="U10" s="68"/>
      <c r="V10" s="31"/>
      <c r="W10" s="11"/>
    </row>
    <row r="11" spans="1:26" ht="15" thickBot="1" x14ac:dyDescent="0.4">
      <c r="A11" s="64"/>
      <c r="C11" s="3" t="s">
        <v>13</v>
      </c>
      <c r="D11" s="35">
        <f>SUM(D4:D10)</f>
        <v>0</v>
      </c>
      <c r="E11" s="36">
        <f t="shared" ref="E11:P11" si="1">SUM(E4:E10)</f>
        <v>0</v>
      </c>
      <c r="F11" s="36">
        <f t="shared" si="1"/>
        <v>0</v>
      </c>
      <c r="G11" s="36">
        <f t="shared" si="1"/>
        <v>0</v>
      </c>
      <c r="H11" s="37">
        <f t="shared" si="1"/>
        <v>0</v>
      </c>
      <c r="I11" s="37">
        <f t="shared" si="1"/>
        <v>0</v>
      </c>
      <c r="J11" s="38">
        <f t="shared" si="1"/>
        <v>0</v>
      </c>
      <c r="K11" s="38">
        <f t="shared" si="1"/>
        <v>0</v>
      </c>
      <c r="L11" s="38">
        <f t="shared" si="1"/>
        <v>0</v>
      </c>
      <c r="M11" s="38">
        <f t="shared" si="1"/>
        <v>0</v>
      </c>
      <c r="N11" s="38">
        <f t="shared" si="1"/>
        <v>0</v>
      </c>
      <c r="O11" s="38">
        <f t="shared" si="1"/>
        <v>0</v>
      </c>
      <c r="P11" s="23">
        <f t="shared" si="1"/>
        <v>0</v>
      </c>
      <c r="Q11" s="23">
        <f>SUM(Q4:Q10)</f>
        <v>0</v>
      </c>
      <c r="R11" s="24" t="s">
        <v>56</v>
      </c>
      <c r="S11" s="2" t="s">
        <v>21</v>
      </c>
      <c r="U11" s="69"/>
      <c r="V11" s="49" t="s">
        <v>13</v>
      </c>
      <c r="W11" s="9">
        <f>SUM(W4:W10)</f>
        <v>0</v>
      </c>
    </row>
    <row r="12" spans="1:26" ht="15" thickBot="1" x14ac:dyDescent="0.4">
      <c r="A12" s="29"/>
      <c r="C12" s="3"/>
      <c r="D12" s="70">
        <f>SUM(D11:G11)</f>
        <v>0</v>
      </c>
      <c r="E12" s="71"/>
      <c r="F12" s="71"/>
      <c r="G12" s="71"/>
      <c r="H12" s="72">
        <f>SUM(H11:I11)</f>
        <v>0</v>
      </c>
      <c r="I12" s="72"/>
      <c r="J12" s="73">
        <f>SUM(J11:O11)</f>
        <v>0</v>
      </c>
      <c r="K12" s="73"/>
      <c r="L12" s="73"/>
      <c r="M12" s="73"/>
      <c r="N12" s="73"/>
      <c r="O12" s="73"/>
      <c r="P12" s="62">
        <f>SUM(P11:Q11)</f>
        <v>0</v>
      </c>
      <c r="Q12" s="63"/>
      <c r="R12" s="9">
        <f t="shared" ref="R12:R19" si="2">SUM(D12:Q12)</f>
        <v>0</v>
      </c>
      <c r="S12" s="9">
        <f>$S$3-R12</f>
        <v>0</v>
      </c>
      <c r="U12" s="1"/>
      <c r="V12" s="1"/>
    </row>
    <row r="13" spans="1:26" x14ac:dyDescent="0.35">
      <c r="A13" s="29"/>
      <c r="B13" s="8">
        <v>44536</v>
      </c>
      <c r="C13" s="3" t="s">
        <v>1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0"/>
      <c r="Q13" s="21"/>
      <c r="R13" s="33">
        <f t="shared" si="2"/>
        <v>0</v>
      </c>
      <c r="U13" s="67" t="s">
        <v>19</v>
      </c>
      <c r="V13" s="26" t="s">
        <v>20</v>
      </c>
      <c r="W13" s="10"/>
    </row>
    <row r="14" spans="1:26" x14ac:dyDescent="0.35">
      <c r="A14" s="64" t="s">
        <v>14</v>
      </c>
      <c r="B14" s="8">
        <v>44537</v>
      </c>
      <c r="C14" s="3" t="s">
        <v>2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>
        <f t="shared" si="2"/>
        <v>0</v>
      </c>
      <c r="U14" s="68"/>
      <c r="V14" s="31" t="s">
        <v>35</v>
      </c>
      <c r="W14" s="11"/>
    </row>
    <row r="15" spans="1:26" x14ac:dyDescent="0.35">
      <c r="A15" s="64"/>
      <c r="B15" s="8">
        <v>44538</v>
      </c>
      <c r="C15" s="3" t="s">
        <v>3</v>
      </c>
      <c r="D15" s="20"/>
      <c r="E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>
        <f t="shared" si="2"/>
        <v>0</v>
      </c>
      <c r="U15" s="68"/>
      <c r="V15" s="31" t="s">
        <v>37</v>
      </c>
      <c r="W15" s="11"/>
    </row>
    <row r="16" spans="1:26" ht="15.75" customHeight="1" x14ac:dyDescent="0.35">
      <c r="A16" s="64"/>
      <c r="B16" s="8">
        <v>44539</v>
      </c>
      <c r="C16" s="3" t="s">
        <v>4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>
        <f t="shared" si="2"/>
        <v>0</v>
      </c>
      <c r="U16" s="68"/>
      <c r="V16" s="31" t="s">
        <v>38</v>
      </c>
      <c r="W16" s="11"/>
    </row>
    <row r="17" spans="1:27" x14ac:dyDescent="0.35">
      <c r="A17" s="64"/>
      <c r="B17" s="8">
        <v>44540</v>
      </c>
      <c r="C17" s="3" t="s">
        <v>5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>
        <f t="shared" si="2"/>
        <v>0</v>
      </c>
      <c r="U17" s="68"/>
      <c r="V17" s="31" t="s">
        <v>36</v>
      </c>
      <c r="W17" s="11"/>
    </row>
    <row r="18" spans="1:27" x14ac:dyDescent="0.35">
      <c r="A18" s="64"/>
      <c r="B18" s="8">
        <v>44541</v>
      </c>
      <c r="C18" s="3" t="s">
        <v>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>
        <f t="shared" si="2"/>
        <v>0</v>
      </c>
      <c r="U18" s="68"/>
      <c r="V18" s="31"/>
      <c r="W18" s="11"/>
      <c r="X18" s="13"/>
    </row>
    <row r="19" spans="1:27" ht="15.75" customHeight="1" thickBot="1" x14ac:dyDescent="0.4">
      <c r="A19" s="64"/>
      <c r="B19" s="8">
        <v>44542</v>
      </c>
      <c r="C19" s="3" t="s">
        <v>7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34">
        <f t="shared" si="2"/>
        <v>0</v>
      </c>
      <c r="U19" s="68"/>
      <c r="V19" s="45"/>
      <c r="W19" s="11"/>
      <c r="X19" s="13"/>
    </row>
    <row r="20" spans="1:27" ht="15" thickBot="1" x14ac:dyDescent="0.4">
      <c r="A20" s="64"/>
      <c r="C20" s="3" t="s">
        <v>13</v>
      </c>
      <c r="D20" s="14">
        <f t="shared" ref="D20:Q20" si="3">SUM(D13:D19)</f>
        <v>0</v>
      </c>
      <c r="E20" s="14">
        <f t="shared" si="3"/>
        <v>0</v>
      </c>
      <c r="F20" s="14">
        <f t="shared" si="3"/>
        <v>0</v>
      </c>
      <c r="G20" s="14">
        <f t="shared" si="3"/>
        <v>0</v>
      </c>
      <c r="H20" s="15">
        <f t="shared" si="3"/>
        <v>0</v>
      </c>
      <c r="I20" s="15">
        <f t="shared" si="3"/>
        <v>0</v>
      </c>
      <c r="J20" s="16">
        <f t="shared" si="3"/>
        <v>0</v>
      </c>
      <c r="K20" s="16">
        <f t="shared" si="3"/>
        <v>0</v>
      </c>
      <c r="L20" s="16">
        <f t="shared" si="3"/>
        <v>0</v>
      </c>
      <c r="M20" s="16">
        <f t="shared" si="3"/>
        <v>0</v>
      </c>
      <c r="N20" s="16">
        <f t="shared" si="3"/>
        <v>0</v>
      </c>
      <c r="O20" s="16">
        <f t="shared" si="3"/>
        <v>0</v>
      </c>
      <c r="P20" s="25">
        <f t="shared" si="3"/>
        <v>0</v>
      </c>
      <c r="Q20" s="25">
        <f t="shared" si="3"/>
        <v>0</v>
      </c>
      <c r="R20" s="24" t="s">
        <v>56</v>
      </c>
      <c r="S20" s="2" t="s">
        <v>22</v>
      </c>
      <c r="U20" s="68"/>
      <c r="V20" s="45"/>
      <c r="W20" s="11"/>
    </row>
    <row r="21" spans="1:27" ht="15" thickBot="1" x14ac:dyDescent="0.4">
      <c r="A21" s="29"/>
      <c r="C21" s="3"/>
      <c r="D21" s="71">
        <f>SUM(D20:G20)</f>
        <v>0</v>
      </c>
      <c r="E21" s="71"/>
      <c r="F21" s="71"/>
      <c r="G21" s="71"/>
      <c r="H21" s="72">
        <f>SUM(H20:I20)</f>
        <v>0</v>
      </c>
      <c r="I21" s="72"/>
      <c r="J21" s="73">
        <f>SUM(J20:O20)</f>
        <v>0</v>
      </c>
      <c r="K21" s="73"/>
      <c r="L21" s="73"/>
      <c r="M21" s="73"/>
      <c r="N21" s="73"/>
      <c r="O21" s="73"/>
      <c r="P21" s="62">
        <f>SUM(P20:Q20)</f>
        <v>0</v>
      </c>
      <c r="Q21" s="63"/>
      <c r="R21" s="9">
        <f t="shared" ref="R21:R28" si="4">SUM(D21:Q21)</f>
        <v>0</v>
      </c>
      <c r="S21" s="9">
        <f>S12-R21</f>
        <v>0</v>
      </c>
      <c r="U21" s="69"/>
      <c r="V21" s="46"/>
      <c r="W21" s="47"/>
      <c r="X21" s="13"/>
    </row>
    <row r="22" spans="1:27" ht="15" thickBot="1" x14ac:dyDescent="0.4">
      <c r="A22" s="29"/>
      <c r="B22" s="8">
        <v>44543</v>
      </c>
      <c r="C22" s="3" t="s">
        <v>1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0"/>
      <c r="Q22" s="21"/>
      <c r="R22" s="33">
        <f t="shared" si="4"/>
        <v>0</v>
      </c>
      <c r="Z22" t="s">
        <v>44</v>
      </c>
      <c r="AA22">
        <f>D59</f>
        <v>0</v>
      </c>
    </row>
    <row r="23" spans="1:27" ht="15" thickBot="1" x14ac:dyDescent="0.4">
      <c r="A23" s="64" t="s">
        <v>15</v>
      </c>
      <c r="B23" s="8">
        <v>44544</v>
      </c>
      <c r="C23" s="3" t="s">
        <v>2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>
        <f t="shared" si="4"/>
        <v>0</v>
      </c>
      <c r="U23" s="12" t="s">
        <v>17</v>
      </c>
      <c r="V23" s="65">
        <f t="shared" ref="V23" si="5">W11-SUM(W13:W21)</f>
        <v>0</v>
      </c>
      <c r="W23" s="66"/>
      <c r="Z23" t="s">
        <v>45</v>
      </c>
      <c r="AA23">
        <f>H59</f>
        <v>0</v>
      </c>
    </row>
    <row r="24" spans="1:27" x14ac:dyDescent="0.35">
      <c r="A24" s="64"/>
      <c r="B24" s="8">
        <v>44545</v>
      </c>
      <c r="C24" s="3" t="s">
        <v>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>
        <f t="shared" si="4"/>
        <v>0</v>
      </c>
      <c r="Z24" t="s">
        <v>48</v>
      </c>
      <c r="AA24">
        <f>J59</f>
        <v>0</v>
      </c>
    </row>
    <row r="25" spans="1:27" x14ac:dyDescent="0.35">
      <c r="A25" s="64"/>
      <c r="B25" s="8">
        <v>44546</v>
      </c>
      <c r="C25" s="3" t="s">
        <v>4</v>
      </c>
      <c r="D25" s="20"/>
      <c r="E25" s="20"/>
      <c r="F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>
        <f t="shared" si="4"/>
        <v>0</v>
      </c>
      <c r="U25">
        <f>S3-S48</f>
        <v>0</v>
      </c>
      <c r="Z25" t="s">
        <v>53</v>
      </c>
      <c r="AA25">
        <f>P59</f>
        <v>0</v>
      </c>
    </row>
    <row r="26" spans="1:27" x14ac:dyDescent="0.35">
      <c r="A26" s="64"/>
      <c r="B26" s="8">
        <v>44547</v>
      </c>
      <c r="C26" s="3" t="s">
        <v>5</v>
      </c>
      <c r="D26" s="20"/>
      <c r="E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>
        <f t="shared" si="4"/>
        <v>0</v>
      </c>
      <c r="Z26" t="s">
        <v>83</v>
      </c>
      <c r="AA26">
        <f>W13</f>
        <v>0</v>
      </c>
    </row>
    <row r="27" spans="1:27" x14ac:dyDescent="0.35">
      <c r="A27" s="64"/>
      <c r="B27" s="8">
        <v>44548</v>
      </c>
      <c r="C27" s="3" t="s">
        <v>6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>
        <f t="shared" si="4"/>
        <v>0</v>
      </c>
      <c r="Z27" t="s">
        <v>84</v>
      </c>
      <c r="AA27">
        <f>SUM(W14:W17)</f>
        <v>0</v>
      </c>
    </row>
    <row r="28" spans="1:27" ht="15" customHeight="1" thickBot="1" x14ac:dyDescent="0.4">
      <c r="A28" s="64"/>
      <c r="B28" s="8">
        <v>44549</v>
      </c>
      <c r="C28" s="3" t="s">
        <v>7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34">
        <f t="shared" si="4"/>
        <v>0</v>
      </c>
    </row>
    <row r="29" spans="1:27" ht="15" thickBot="1" x14ac:dyDescent="0.4">
      <c r="A29" s="64"/>
      <c r="C29" s="3" t="s">
        <v>13</v>
      </c>
      <c r="D29" s="14">
        <f t="shared" ref="D29:Q29" si="6">SUM(D22:D28)</f>
        <v>0</v>
      </c>
      <c r="E29" s="14">
        <f>SUM(E22:E28)</f>
        <v>0</v>
      </c>
      <c r="F29" s="14">
        <f t="shared" si="6"/>
        <v>0</v>
      </c>
      <c r="G29" s="14">
        <f t="shared" si="6"/>
        <v>0</v>
      </c>
      <c r="H29" s="15">
        <f t="shared" si="6"/>
        <v>0</v>
      </c>
      <c r="I29" s="15">
        <f t="shared" si="6"/>
        <v>0</v>
      </c>
      <c r="J29" s="16">
        <f t="shared" si="6"/>
        <v>0</v>
      </c>
      <c r="K29" s="16">
        <f t="shared" si="6"/>
        <v>0</v>
      </c>
      <c r="L29" s="16">
        <f t="shared" si="6"/>
        <v>0</v>
      </c>
      <c r="M29" s="16">
        <f t="shared" si="6"/>
        <v>0</v>
      </c>
      <c r="N29" s="16">
        <f t="shared" si="6"/>
        <v>0</v>
      </c>
      <c r="O29" s="16">
        <f t="shared" si="6"/>
        <v>0</v>
      </c>
      <c r="P29" s="23">
        <f t="shared" si="6"/>
        <v>0</v>
      </c>
      <c r="Q29" s="23">
        <f t="shared" si="6"/>
        <v>0</v>
      </c>
      <c r="R29" s="24" t="s">
        <v>56</v>
      </c>
      <c r="S29" s="2" t="s">
        <v>23</v>
      </c>
    </row>
    <row r="30" spans="1:27" ht="15" thickBot="1" x14ac:dyDescent="0.4">
      <c r="A30" s="29"/>
      <c r="C30" s="3"/>
      <c r="D30" s="54">
        <f>SUM(D29:G29)</f>
        <v>0</v>
      </c>
      <c r="E30" s="55"/>
      <c r="F30" s="55"/>
      <c r="G30" s="56"/>
      <c r="H30" s="57">
        <f>SUM(H29:I29)</f>
        <v>0</v>
      </c>
      <c r="I30" s="58"/>
      <c r="J30" s="59">
        <f>SUM(J29:O29)</f>
        <v>0</v>
      </c>
      <c r="K30" s="60"/>
      <c r="L30" s="60"/>
      <c r="M30" s="60"/>
      <c r="N30" s="60"/>
      <c r="O30" s="61"/>
      <c r="P30" s="62">
        <f>SUM(P29:Q29)</f>
        <v>0</v>
      </c>
      <c r="Q30" s="63"/>
      <c r="R30" s="9">
        <f t="shared" ref="R30:R37" si="7">SUM(D30:Q30)</f>
        <v>0</v>
      </c>
      <c r="S30" s="9">
        <f>S21-R30</f>
        <v>0</v>
      </c>
    </row>
    <row r="31" spans="1:27" x14ac:dyDescent="0.35">
      <c r="A31" s="29"/>
      <c r="B31" s="8">
        <v>44550</v>
      </c>
      <c r="C31" s="3" t="s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0"/>
      <c r="Q31" s="21"/>
      <c r="R31" s="33">
        <f t="shared" si="7"/>
        <v>0</v>
      </c>
    </row>
    <row r="32" spans="1:27" x14ac:dyDescent="0.35">
      <c r="A32" s="64" t="s">
        <v>16</v>
      </c>
      <c r="B32" s="8">
        <v>44551</v>
      </c>
      <c r="C32" s="3" t="s">
        <v>2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>
        <f t="shared" si="7"/>
        <v>0</v>
      </c>
    </row>
    <row r="33" spans="1:19" x14ac:dyDescent="0.35">
      <c r="A33" s="64"/>
      <c r="B33" s="8">
        <v>44552</v>
      </c>
      <c r="C33" s="3" t="s">
        <v>3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>
        <f t="shared" si="7"/>
        <v>0</v>
      </c>
    </row>
    <row r="34" spans="1:19" x14ac:dyDescent="0.35">
      <c r="A34" s="64"/>
      <c r="B34" s="8">
        <v>44553</v>
      </c>
      <c r="C34" s="3" t="s">
        <v>4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>
        <f t="shared" si="7"/>
        <v>0</v>
      </c>
    </row>
    <row r="35" spans="1:19" x14ac:dyDescent="0.35">
      <c r="A35" s="64"/>
      <c r="B35" s="8">
        <v>44554</v>
      </c>
      <c r="C35" s="3" t="s">
        <v>5</v>
      </c>
      <c r="D35" s="20"/>
      <c r="F35" s="20"/>
      <c r="G35" s="20"/>
      <c r="H35" s="20"/>
      <c r="J35" s="20"/>
      <c r="K35" s="20"/>
      <c r="L35" s="20"/>
      <c r="N35" s="20"/>
      <c r="O35" s="20"/>
      <c r="P35" s="20"/>
      <c r="Q35" s="20"/>
      <c r="R35" s="20">
        <f t="shared" si="7"/>
        <v>0</v>
      </c>
    </row>
    <row r="36" spans="1:19" x14ac:dyDescent="0.35">
      <c r="A36" s="64"/>
      <c r="B36" s="8">
        <v>44555</v>
      </c>
      <c r="C36" s="3" t="s">
        <v>6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>
        <f t="shared" si="7"/>
        <v>0</v>
      </c>
    </row>
    <row r="37" spans="1:19" ht="15" customHeight="1" thickBot="1" x14ac:dyDescent="0.4">
      <c r="A37" s="64"/>
      <c r="B37" s="8">
        <v>44556</v>
      </c>
      <c r="C37" s="3" t="s">
        <v>7</v>
      </c>
      <c r="D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34">
        <f t="shared" si="7"/>
        <v>0</v>
      </c>
    </row>
    <row r="38" spans="1:19" ht="15" thickBot="1" x14ac:dyDescent="0.4">
      <c r="A38" s="64"/>
      <c r="C38" s="3" t="s">
        <v>13</v>
      </c>
      <c r="D38" s="14">
        <f>SUM(D31:D37)</f>
        <v>0</v>
      </c>
      <c r="E38" s="14">
        <f t="shared" ref="E38:Q38" si="8">SUM(E31:E37)</f>
        <v>0</v>
      </c>
      <c r="F38" s="14">
        <f t="shared" si="8"/>
        <v>0</v>
      </c>
      <c r="G38" s="14">
        <f t="shared" si="8"/>
        <v>0</v>
      </c>
      <c r="H38" s="15">
        <f t="shared" si="8"/>
        <v>0</v>
      </c>
      <c r="I38" s="15">
        <f t="shared" si="8"/>
        <v>0</v>
      </c>
      <c r="J38" s="16">
        <f t="shared" si="8"/>
        <v>0</v>
      </c>
      <c r="K38" s="16">
        <f t="shared" si="8"/>
        <v>0</v>
      </c>
      <c r="L38" s="16">
        <f t="shared" si="8"/>
        <v>0</v>
      </c>
      <c r="M38" s="16">
        <f t="shared" si="8"/>
        <v>0</v>
      </c>
      <c r="N38" s="16">
        <f t="shared" si="8"/>
        <v>0</v>
      </c>
      <c r="O38" s="16">
        <f t="shared" si="8"/>
        <v>0</v>
      </c>
      <c r="P38" s="25">
        <f t="shared" si="8"/>
        <v>0</v>
      </c>
      <c r="Q38" s="25">
        <f t="shared" si="8"/>
        <v>0</v>
      </c>
      <c r="R38" s="24" t="s">
        <v>56</v>
      </c>
      <c r="S38" s="2" t="s">
        <v>24</v>
      </c>
    </row>
    <row r="39" spans="1:19" ht="15" thickBot="1" x14ac:dyDescent="0.4">
      <c r="A39" s="29"/>
      <c r="C39" s="3"/>
      <c r="D39" s="54">
        <f t="shared" ref="D39" si="9">SUM(D38:G38)</f>
        <v>0</v>
      </c>
      <c r="E39" s="55"/>
      <c r="F39" s="55"/>
      <c r="G39" s="56"/>
      <c r="H39" s="57">
        <f>SUM(H38:I38)</f>
        <v>0</v>
      </c>
      <c r="I39" s="58"/>
      <c r="J39" s="59">
        <f>SUM(J38:O38)</f>
        <v>0</v>
      </c>
      <c r="K39" s="60"/>
      <c r="L39" s="60"/>
      <c r="M39" s="60"/>
      <c r="N39" s="60"/>
      <c r="O39" s="61"/>
      <c r="P39" s="62">
        <f>SUM(P38:Q38)</f>
        <v>0</v>
      </c>
      <c r="Q39" s="63"/>
      <c r="R39" s="9">
        <f t="shared" ref="R39:R46" si="10">SUM(D39:Q39)</f>
        <v>0</v>
      </c>
      <c r="S39" s="9">
        <f>S30-R39</f>
        <v>0</v>
      </c>
    </row>
    <row r="40" spans="1:19" x14ac:dyDescent="0.35">
      <c r="A40" s="29"/>
      <c r="B40" s="8">
        <v>44557</v>
      </c>
      <c r="C40" s="3" t="s">
        <v>1</v>
      </c>
      <c r="D40" s="27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33">
        <f t="shared" si="10"/>
        <v>0</v>
      </c>
    </row>
    <row r="41" spans="1:19" ht="15" customHeight="1" x14ac:dyDescent="0.35">
      <c r="A41" s="64" t="s">
        <v>29</v>
      </c>
      <c r="B41" s="8">
        <v>44558</v>
      </c>
      <c r="C41" s="3" t="s">
        <v>2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>
        <f t="shared" si="10"/>
        <v>0</v>
      </c>
    </row>
    <row r="42" spans="1:19" x14ac:dyDescent="0.35">
      <c r="A42" s="64"/>
      <c r="B42" s="8">
        <v>44559</v>
      </c>
      <c r="C42" s="3" t="s">
        <v>3</v>
      </c>
      <c r="D42" s="28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>
        <f t="shared" si="10"/>
        <v>0</v>
      </c>
    </row>
    <row r="43" spans="1:19" x14ac:dyDescent="0.35">
      <c r="A43" s="64"/>
      <c r="B43" s="8">
        <v>44560</v>
      </c>
      <c r="C43" s="3" t="s">
        <v>4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>
        <f t="shared" si="10"/>
        <v>0</v>
      </c>
    </row>
    <row r="44" spans="1:19" ht="16.5" customHeight="1" x14ac:dyDescent="0.35">
      <c r="A44" s="64"/>
      <c r="B44" s="8">
        <v>44561</v>
      </c>
      <c r="C44" s="3" t="s">
        <v>5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>
        <f t="shared" si="10"/>
        <v>0</v>
      </c>
    </row>
    <row r="45" spans="1:19" x14ac:dyDescent="0.35">
      <c r="A45" s="64"/>
      <c r="B45" s="8" t="s">
        <v>33</v>
      </c>
      <c r="C45" s="3" t="s">
        <v>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>
        <f t="shared" si="10"/>
        <v>0</v>
      </c>
    </row>
    <row r="46" spans="1:19" ht="15" thickBot="1" x14ac:dyDescent="0.4">
      <c r="A46" s="50"/>
      <c r="B46" s="8" t="s">
        <v>33</v>
      </c>
      <c r="C46" s="3" t="s">
        <v>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34">
        <f t="shared" si="10"/>
        <v>0</v>
      </c>
    </row>
    <row r="47" spans="1:19" ht="15" thickBot="1" x14ac:dyDescent="0.4">
      <c r="A47" s="50"/>
      <c r="B47" s="8"/>
      <c r="C47" s="3" t="s">
        <v>13</v>
      </c>
      <c r="D47" s="14">
        <f t="shared" ref="D47:Q47" si="11">SUM(D40:D46)</f>
        <v>0</v>
      </c>
      <c r="E47" s="14">
        <f t="shared" si="11"/>
        <v>0</v>
      </c>
      <c r="F47" s="14">
        <f t="shared" si="11"/>
        <v>0</v>
      </c>
      <c r="G47" s="14">
        <f t="shared" si="11"/>
        <v>0</v>
      </c>
      <c r="H47" s="15">
        <f t="shared" si="11"/>
        <v>0</v>
      </c>
      <c r="I47" s="15">
        <f t="shared" si="11"/>
        <v>0</v>
      </c>
      <c r="J47" s="16">
        <f t="shared" si="11"/>
        <v>0</v>
      </c>
      <c r="K47" s="16">
        <f t="shared" si="11"/>
        <v>0</v>
      </c>
      <c r="L47" s="16">
        <f t="shared" si="11"/>
        <v>0</v>
      </c>
      <c r="M47" s="16">
        <f t="shared" si="11"/>
        <v>0</v>
      </c>
      <c r="N47" s="16">
        <f t="shared" si="11"/>
        <v>0</v>
      </c>
      <c r="O47" s="16">
        <f t="shared" si="11"/>
        <v>0</v>
      </c>
      <c r="P47" s="17">
        <f t="shared" si="11"/>
        <v>0</v>
      </c>
      <c r="Q47" s="17">
        <f t="shared" si="11"/>
        <v>0</v>
      </c>
      <c r="R47" s="24" t="s">
        <v>56</v>
      </c>
      <c r="S47" s="2" t="s">
        <v>28</v>
      </c>
    </row>
    <row r="48" spans="1:19" ht="15" thickBot="1" x14ac:dyDescent="0.4">
      <c r="B48" s="8"/>
      <c r="C48" s="3"/>
      <c r="D48" s="54">
        <f>SUM(D47:G47)</f>
        <v>0</v>
      </c>
      <c r="E48" s="55"/>
      <c r="F48" s="55"/>
      <c r="G48" s="56"/>
      <c r="H48" s="57">
        <f>SUM(H47:I47)</f>
        <v>0</v>
      </c>
      <c r="I48" s="58"/>
      <c r="J48" s="59">
        <f>SUM(J47:O47)</f>
        <v>0</v>
      </c>
      <c r="K48" s="60"/>
      <c r="L48" s="60"/>
      <c r="M48" s="60"/>
      <c r="N48" s="60"/>
      <c r="O48" s="61"/>
      <c r="P48" s="62">
        <f>SUM(P47:Q47)</f>
        <v>0</v>
      </c>
      <c r="Q48" s="63"/>
      <c r="R48" s="9">
        <f t="shared" ref="R48:R55" si="12">SUM(D48:Q48)</f>
        <v>0</v>
      </c>
      <c r="S48" s="9">
        <f>S39-R48</f>
        <v>0</v>
      </c>
    </row>
    <row r="49" spans="1:19" ht="15.75" customHeight="1" x14ac:dyDescent="0.35">
      <c r="A49" s="64" t="s">
        <v>30</v>
      </c>
      <c r="B49" s="8" t="s">
        <v>33</v>
      </c>
      <c r="C49" s="32" t="s">
        <v>1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33">
        <f t="shared" si="12"/>
        <v>0</v>
      </c>
    </row>
    <row r="50" spans="1:19" ht="15.75" customHeight="1" x14ac:dyDescent="0.35">
      <c r="A50" s="64"/>
      <c r="B50" s="8" t="s">
        <v>33</v>
      </c>
      <c r="C50" s="32" t="s">
        <v>2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>
        <f t="shared" si="12"/>
        <v>0</v>
      </c>
    </row>
    <row r="51" spans="1:19" ht="15.75" customHeight="1" x14ac:dyDescent="0.35">
      <c r="A51" s="64"/>
      <c r="B51" s="8" t="s">
        <v>33</v>
      </c>
      <c r="C51" s="32" t="s">
        <v>3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>
        <f t="shared" si="12"/>
        <v>0</v>
      </c>
    </row>
    <row r="52" spans="1:19" ht="15.75" customHeight="1" x14ac:dyDescent="0.35">
      <c r="A52" s="64"/>
      <c r="B52" s="8" t="s">
        <v>33</v>
      </c>
      <c r="C52" s="32" t="s">
        <v>4</v>
      </c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>
        <f t="shared" si="12"/>
        <v>0</v>
      </c>
    </row>
    <row r="53" spans="1:19" ht="15.75" customHeight="1" x14ac:dyDescent="0.35">
      <c r="A53" s="64"/>
      <c r="B53" s="8" t="s">
        <v>33</v>
      </c>
      <c r="C53" s="32" t="s">
        <v>5</v>
      </c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>
        <f t="shared" si="12"/>
        <v>0</v>
      </c>
    </row>
    <row r="54" spans="1:19" ht="15.75" customHeight="1" x14ac:dyDescent="0.35">
      <c r="A54" s="64"/>
      <c r="B54" s="8" t="s">
        <v>33</v>
      </c>
      <c r="C54" s="32" t="s">
        <v>6</v>
      </c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>
        <f t="shared" si="12"/>
        <v>0</v>
      </c>
    </row>
    <row r="55" spans="1:19" ht="15.75" customHeight="1" thickBot="1" x14ac:dyDescent="0.4">
      <c r="A55" s="64"/>
      <c r="B55" s="8" t="s">
        <v>33</v>
      </c>
      <c r="C55" s="32" t="s">
        <v>7</v>
      </c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0">
        <f t="shared" si="12"/>
        <v>0</v>
      </c>
    </row>
    <row r="56" spans="1:19" ht="15" thickBot="1" x14ac:dyDescent="0.4">
      <c r="A56" s="29"/>
      <c r="B56" s="8"/>
      <c r="C56" s="3" t="s">
        <v>13</v>
      </c>
      <c r="D56" s="39">
        <f t="shared" ref="D56:F56" si="13">SUM(D49:D55)</f>
        <v>0</v>
      </c>
      <c r="E56" s="39">
        <f t="shared" si="13"/>
        <v>0</v>
      </c>
      <c r="F56" s="39">
        <f t="shared" si="13"/>
        <v>0</v>
      </c>
      <c r="G56" s="39">
        <f>SUM(G49:G55)</f>
        <v>0</v>
      </c>
      <c r="H56" s="37">
        <f t="shared" ref="H56:Q56" si="14">SUM(H49:H55)</f>
        <v>0</v>
      </c>
      <c r="I56" s="37">
        <f t="shared" si="14"/>
        <v>0</v>
      </c>
      <c r="J56" s="38">
        <f t="shared" si="14"/>
        <v>0</v>
      </c>
      <c r="K56" s="38">
        <f t="shared" si="14"/>
        <v>0</v>
      </c>
      <c r="L56" s="38">
        <f t="shared" si="14"/>
        <v>0</v>
      </c>
      <c r="M56" s="38">
        <f t="shared" si="14"/>
        <v>0</v>
      </c>
      <c r="N56" s="38">
        <f t="shared" si="14"/>
        <v>0</v>
      </c>
      <c r="O56" s="38">
        <f t="shared" si="14"/>
        <v>0</v>
      </c>
      <c r="P56" s="40">
        <f t="shared" si="14"/>
        <v>0</v>
      </c>
      <c r="Q56" s="40">
        <f t="shared" si="14"/>
        <v>0</v>
      </c>
      <c r="R56" s="24" t="s">
        <v>56</v>
      </c>
      <c r="S56" s="2" t="s">
        <v>39</v>
      </c>
    </row>
    <row r="57" spans="1:19" ht="15" thickBot="1" x14ac:dyDescent="0.4">
      <c r="A57" s="29"/>
      <c r="C57" s="3"/>
      <c r="D57" s="54">
        <f>SUM(D56:G56)</f>
        <v>0</v>
      </c>
      <c r="E57" s="55"/>
      <c r="F57" s="55"/>
      <c r="G57" s="56"/>
      <c r="H57" s="57">
        <f>SUM(H56:I56)</f>
        <v>0</v>
      </c>
      <c r="I57" s="58"/>
      <c r="J57" s="59">
        <f>SUM(J56:O56)</f>
        <v>0</v>
      </c>
      <c r="K57" s="60"/>
      <c r="L57" s="60"/>
      <c r="M57" s="60"/>
      <c r="N57" s="60"/>
      <c r="O57" s="61"/>
      <c r="P57" s="62">
        <f>SUM(P56:Q56)</f>
        <v>0</v>
      </c>
      <c r="Q57" s="63"/>
      <c r="R57" s="9">
        <f>SUM(D57:Q57)</f>
        <v>0</v>
      </c>
      <c r="S57" s="9">
        <f>S48-R57</f>
        <v>0</v>
      </c>
    </row>
    <row r="58" spans="1:19" x14ac:dyDescent="0.35">
      <c r="A58" s="29"/>
    </row>
    <row r="59" spans="1:19" x14ac:dyDescent="0.35">
      <c r="A59" s="29"/>
      <c r="B59" t="s">
        <v>55</v>
      </c>
      <c r="D59" s="54">
        <f t="shared" ref="D59" si="15">D12+D21+D30+D39+D48+D57</f>
        <v>0</v>
      </c>
      <c r="E59" s="55"/>
      <c r="F59" s="55"/>
      <c r="G59" s="56"/>
      <c r="H59" s="57">
        <f t="shared" ref="H59" si="16">H12+H21+H30+H39+H48+H57</f>
        <v>0</v>
      </c>
      <c r="I59" s="58"/>
      <c r="J59" s="59">
        <f t="shared" ref="J59" si="17">J12+J21+J30+J39+J48+J57</f>
        <v>0</v>
      </c>
      <c r="K59" s="60"/>
      <c r="L59" s="60"/>
      <c r="M59" s="60"/>
      <c r="N59" s="60"/>
      <c r="O59" s="61"/>
      <c r="P59" s="62">
        <f t="shared" ref="P59" si="18">P12+P21+P30+P39+P48+P57</f>
        <v>0</v>
      </c>
      <c r="Q59" s="63"/>
      <c r="R59">
        <f>R12+R21+R30+R39+R48+R57</f>
        <v>0</v>
      </c>
    </row>
  </sheetData>
  <mergeCells count="42">
    <mergeCell ref="A1:P1"/>
    <mergeCell ref="D2:G2"/>
    <mergeCell ref="H2:I2"/>
    <mergeCell ref="J2:O2"/>
    <mergeCell ref="P2:Q2"/>
    <mergeCell ref="P21:Q21"/>
    <mergeCell ref="A23:A29"/>
    <mergeCell ref="U4:U11"/>
    <mergeCell ref="D12:G12"/>
    <mergeCell ref="H12:I12"/>
    <mergeCell ref="J12:O12"/>
    <mergeCell ref="P12:Q12"/>
    <mergeCell ref="U13:U21"/>
    <mergeCell ref="A4:A11"/>
    <mergeCell ref="A32:A38"/>
    <mergeCell ref="A14:A20"/>
    <mergeCell ref="D21:G21"/>
    <mergeCell ref="H21:I21"/>
    <mergeCell ref="J21:O21"/>
    <mergeCell ref="V23:W23"/>
    <mergeCell ref="D30:G30"/>
    <mergeCell ref="H30:I30"/>
    <mergeCell ref="J30:O30"/>
    <mergeCell ref="P30:Q30"/>
    <mergeCell ref="A41:A45"/>
    <mergeCell ref="D48:G48"/>
    <mergeCell ref="H48:I48"/>
    <mergeCell ref="J48:O48"/>
    <mergeCell ref="P48:Q48"/>
    <mergeCell ref="D59:G59"/>
    <mergeCell ref="H59:I59"/>
    <mergeCell ref="J59:O59"/>
    <mergeCell ref="P59:Q59"/>
    <mergeCell ref="D39:G39"/>
    <mergeCell ref="H39:I39"/>
    <mergeCell ref="J39:O39"/>
    <mergeCell ref="P39:Q39"/>
    <mergeCell ref="A49:A55"/>
    <mergeCell ref="D57:G57"/>
    <mergeCell ref="H57:I57"/>
    <mergeCell ref="J57:O57"/>
    <mergeCell ref="P57:Q57"/>
  </mergeCells>
  <conditionalFormatting sqref="Z6">
    <cfRule type="cellIs" dxfId="3" priority="1" operator="lessThan">
      <formula>-200</formula>
    </cfRule>
    <cfRule type="cellIs" dxfId="2" priority="2" operator="between">
      <formula>-200</formula>
      <formula>0</formula>
    </cfRule>
    <cfRule type="cellIs" dxfId="1" priority="3" operator="between">
      <formula>0</formula>
      <formula>200</formula>
    </cfRule>
    <cfRule type="cellIs" dxfId="0" priority="4" operator="greaterThan">
      <formula>200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626F3-605A-45BD-B62D-34B1F48D6A9D}">
  <sheetPr codeName="Foglio13"/>
  <dimension ref="A1:Q15"/>
  <sheetViews>
    <sheetView tabSelected="1" topLeftCell="F1" zoomScale="55" zoomScaleNormal="55" workbookViewId="0">
      <selection activeCell="K40" sqref="K40"/>
    </sheetView>
  </sheetViews>
  <sheetFormatPr defaultRowHeight="14.5" x14ac:dyDescent="0.35"/>
  <cols>
    <col min="1" max="13" width="14.1796875" customWidth="1"/>
    <col min="14" max="14" width="14" bestFit="1" customWidth="1"/>
    <col min="15" max="15" width="11.81640625" bestFit="1" customWidth="1"/>
    <col min="16" max="16" width="14.08984375" customWidth="1"/>
    <col min="17" max="17" width="13.36328125" bestFit="1" customWidth="1"/>
  </cols>
  <sheetData>
    <row r="1" spans="1:17" x14ac:dyDescent="0.35">
      <c r="A1" s="30">
        <v>2021</v>
      </c>
    </row>
    <row r="2" spans="1:17" x14ac:dyDescent="0.35">
      <c r="B2" s="42" t="s">
        <v>41</v>
      </c>
      <c r="C2" s="42" t="s">
        <v>43</v>
      </c>
      <c r="D2" s="42" t="s">
        <v>73</v>
      </c>
      <c r="E2" s="42" t="s">
        <v>74</v>
      </c>
      <c r="F2" s="42" t="s">
        <v>75</v>
      </c>
      <c r="G2" s="42" t="s">
        <v>76</v>
      </c>
      <c r="H2" s="42" t="s">
        <v>77</v>
      </c>
      <c r="I2" s="42" t="s">
        <v>78</v>
      </c>
      <c r="J2" s="42" t="s">
        <v>79</v>
      </c>
      <c r="K2" s="42" t="s">
        <v>80</v>
      </c>
      <c r="L2" s="42" t="s">
        <v>81</v>
      </c>
      <c r="M2" s="41" t="s">
        <v>82</v>
      </c>
      <c r="N2" s="41"/>
      <c r="O2" s="41"/>
      <c r="P2" s="41"/>
      <c r="Q2" s="41"/>
    </row>
    <row r="3" spans="1:17" x14ac:dyDescent="0.35">
      <c r="A3" t="s">
        <v>32</v>
      </c>
      <c r="B3">
        <f>'Gennaio 2021'!Z6</f>
        <v>0</v>
      </c>
      <c r="C3">
        <f>'Febbraio 2021'!Z6</f>
        <v>0</v>
      </c>
      <c r="D3">
        <f>'Marzo 2021'!Z6</f>
        <v>0</v>
      </c>
      <c r="E3">
        <f>'Aprile 2021'!Z6</f>
        <v>0</v>
      </c>
      <c r="F3">
        <f>'Maggio 2021'!Z6</f>
        <v>0</v>
      </c>
      <c r="G3">
        <f>'Giugno 2021'!Z6</f>
        <v>0</v>
      </c>
      <c r="H3">
        <f>'Luglio 2021'!Z6</f>
        <v>0</v>
      </c>
      <c r="I3">
        <f>'Agosto 2021'!Z6</f>
        <v>0</v>
      </c>
      <c r="J3">
        <f>'Settembre 2021'!Z6</f>
        <v>0</v>
      </c>
      <c r="K3">
        <f>'Ottobre 2021'!Z6</f>
        <v>0</v>
      </c>
      <c r="L3">
        <f>'Novembre 2021'!Z6</f>
        <v>0</v>
      </c>
      <c r="M3" s="42">
        <f>'Dicembre 2021'!Z6</f>
        <v>0</v>
      </c>
    </row>
    <row r="4" spans="1:17" x14ac:dyDescent="0.35">
      <c r="A4" t="s">
        <v>31</v>
      </c>
      <c r="B4">
        <f>B3</f>
        <v>0</v>
      </c>
      <c r="C4">
        <f>B4+C3</f>
        <v>0</v>
      </c>
      <c r="D4">
        <f>C4+D3</f>
        <v>0</v>
      </c>
      <c r="E4">
        <f t="shared" ref="E4:M4" si="0">D4+E3</f>
        <v>0</v>
      </c>
      <c r="F4">
        <f t="shared" si="0"/>
        <v>0</v>
      </c>
      <c r="G4">
        <f t="shared" si="0"/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</row>
    <row r="5" spans="1:17" x14ac:dyDescent="0.35">
      <c r="A5" t="s">
        <v>34</v>
      </c>
      <c r="B5">
        <f>'Gennaio 2021'!Z4</f>
        <v>0</v>
      </c>
      <c r="C5">
        <f>'Febbraio 2021'!Z4</f>
        <v>0</v>
      </c>
      <c r="D5">
        <f>'Marzo 2021'!Z4</f>
        <v>0</v>
      </c>
      <c r="E5">
        <f>'Aprile 2021'!Z4</f>
        <v>0</v>
      </c>
      <c r="F5">
        <f>'Maggio 2021'!Z4</f>
        <v>0</v>
      </c>
      <c r="G5">
        <f>'Giugno 2021'!Z4</f>
        <v>0</v>
      </c>
      <c r="H5">
        <f>'Luglio 2021'!Z4</f>
        <v>0</v>
      </c>
      <c r="I5">
        <f>'Agosto 2021'!Z4</f>
        <v>0</v>
      </c>
      <c r="J5">
        <f>'Settembre 2021'!Z4</f>
        <v>0</v>
      </c>
      <c r="K5">
        <f>'Ottobre 2021'!Z4</f>
        <v>0</v>
      </c>
      <c r="L5">
        <f>'Novembre 2021'!Z4</f>
        <v>0</v>
      </c>
      <c r="M5" s="42">
        <f>'Dicembre 2021'!Z4</f>
        <v>0</v>
      </c>
      <c r="N5" s="42"/>
      <c r="O5" s="42"/>
      <c r="P5" s="42"/>
    </row>
    <row r="10" spans="1:17" x14ac:dyDescent="0.35">
      <c r="N10" t="s">
        <v>44</v>
      </c>
      <c r="O10" s="53" cm="1">
        <f t="array" aca="1" ref="O10" ca="1">SOMMA_PER_FOGLI(AA22)</f>
        <v>0</v>
      </c>
    </row>
    <row r="11" spans="1:17" x14ac:dyDescent="0.35">
      <c r="N11" t="s">
        <v>45</v>
      </c>
      <c r="O11" s="53" cm="1">
        <f t="array" aca="1" ref="O11" ca="1">SOMMA_PER_FOGLI(AA23)</f>
        <v>0</v>
      </c>
    </row>
    <row r="12" spans="1:17" x14ac:dyDescent="0.35">
      <c r="N12" t="s">
        <v>48</v>
      </c>
      <c r="O12" s="53" cm="1">
        <f t="array" aca="1" ref="O12" ca="1">SOMMA_PER_FOGLI(AA24)</f>
        <v>0</v>
      </c>
    </row>
    <row r="13" spans="1:17" x14ac:dyDescent="0.35">
      <c r="N13" t="s">
        <v>53</v>
      </c>
      <c r="O13" s="53" cm="1">
        <f t="array" aca="1" ref="O13" ca="1">SOMMA_PER_FOGLI(AA25)</f>
        <v>0</v>
      </c>
    </row>
    <row r="14" spans="1:17" x14ac:dyDescent="0.35">
      <c r="N14" t="s">
        <v>83</v>
      </c>
      <c r="O14" s="53" cm="1">
        <f t="array" aca="1" ref="O14" ca="1">SOMMA_PER_FOGLI(AA26)</f>
        <v>0</v>
      </c>
    </row>
    <row r="15" spans="1:17" x14ac:dyDescent="0.35">
      <c r="N15" t="s">
        <v>84</v>
      </c>
      <c r="O15" s="53" cm="1">
        <f t="array" aca="1" ref="O15" ca="1">SOMMA_PER_FOGLI(AA27)</f>
        <v>0</v>
      </c>
    </row>
  </sheetData>
  <phoneticPr fontId="4" type="noConversion"/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2E033-447C-47F3-82ED-F1AC51E2825C}">
  <sheetPr codeName="Foglio14"/>
  <dimension ref="A1:E13"/>
  <sheetViews>
    <sheetView topLeftCell="I1" workbookViewId="0">
      <selection activeCell="D14" sqref="D14"/>
    </sheetView>
  </sheetViews>
  <sheetFormatPr defaultRowHeight="14.5" x14ac:dyDescent="0.35"/>
  <cols>
    <col min="3" max="3" width="4.6328125" bestFit="1" customWidth="1"/>
    <col min="4" max="4" width="9" bestFit="1" customWidth="1"/>
  </cols>
  <sheetData>
    <row r="1" spans="1:5" x14ac:dyDescent="0.35">
      <c r="B1" t="s">
        <v>57</v>
      </c>
      <c r="C1" t="s">
        <v>58</v>
      </c>
      <c r="D1" t="s">
        <v>59</v>
      </c>
      <c r="E1" t="s">
        <v>60</v>
      </c>
    </row>
    <row r="2" spans="1:5" x14ac:dyDescent="0.35">
      <c r="A2" t="s">
        <v>61</v>
      </c>
      <c r="B2">
        <f>'Gennaio 2021'!W14</f>
        <v>0</v>
      </c>
      <c r="C2">
        <f>'Gennaio 2021'!W15</f>
        <v>0</v>
      </c>
      <c r="D2">
        <f>'Gennaio 2021'!W16</f>
        <v>0</v>
      </c>
      <c r="E2">
        <f>'Gennaio 2021'!W17</f>
        <v>0</v>
      </c>
    </row>
    <row r="3" spans="1:5" x14ac:dyDescent="0.35">
      <c r="A3" t="s">
        <v>62</v>
      </c>
      <c r="B3">
        <f>'Febbraio 2021'!W14</f>
        <v>0</v>
      </c>
      <c r="C3">
        <f>'Febbraio 2021'!W15</f>
        <v>0</v>
      </c>
      <c r="D3">
        <f>'Febbraio 2021'!W16</f>
        <v>0</v>
      </c>
      <c r="E3">
        <f>'Febbraio 2021'!W17</f>
        <v>0</v>
      </c>
    </row>
    <row r="4" spans="1:5" x14ac:dyDescent="0.35">
      <c r="A4" t="s">
        <v>63</v>
      </c>
      <c r="B4">
        <f>'Marzo 2021'!W14</f>
        <v>0</v>
      </c>
      <c r="C4">
        <f>'Marzo 2021'!W15</f>
        <v>0</v>
      </c>
      <c r="D4">
        <f>'Marzo 2021'!W16</f>
        <v>0</v>
      </c>
      <c r="E4">
        <f>'Marzo 2021'!W17</f>
        <v>0</v>
      </c>
    </row>
    <row r="5" spans="1:5" x14ac:dyDescent="0.35">
      <c r="A5" t="s">
        <v>64</v>
      </c>
      <c r="B5">
        <f>'Aprile 2021'!W14</f>
        <v>0</v>
      </c>
      <c r="C5">
        <f>'Aprile 2021'!W15</f>
        <v>0</v>
      </c>
      <c r="D5">
        <f>'Aprile 2021'!W16</f>
        <v>0</v>
      </c>
      <c r="E5">
        <f>'Aprile 2021'!W17</f>
        <v>0</v>
      </c>
    </row>
    <row r="6" spans="1:5" x14ac:dyDescent="0.35">
      <c r="A6" t="s">
        <v>65</v>
      </c>
      <c r="B6">
        <f>'Maggio 2021'!W14</f>
        <v>0</v>
      </c>
      <c r="C6">
        <f>'Maggio 2021'!W15</f>
        <v>0</v>
      </c>
      <c r="D6">
        <f>'Maggio 2021'!W16</f>
        <v>0</v>
      </c>
      <c r="E6">
        <f>'Maggio 2021'!W17</f>
        <v>0</v>
      </c>
    </row>
    <row r="7" spans="1:5" x14ac:dyDescent="0.35">
      <c r="A7" t="s">
        <v>66</v>
      </c>
      <c r="B7">
        <f>'Giugno 2021'!W14</f>
        <v>0</v>
      </c>
      <c r="C7">
        <f>'Giugno 2021'!W15</f>
        <v>0</v>
      </c>
      <c r="D7">
        <f>'Giugno 2021'!W16</f>
        <v>0</v>
      </c>
      <c r="E7">
        <f>'Giugno 2021'!W17</f>
        <v>0</v>
      </c>
    </row>
    <row r="8" spans="1:5" x14ac:dyDescent="0.35">
      <c r="A8" t="s">
        <v>67</v>
      </c>
      <c r="B8">
        <f>'Luglio 2021'!W14</f>
        <v>0</v>
      </c>
      <c r="C8">
        <f>'Luglio 2021'!W15</f>
        <v>0</v>
      </c>
      <c r="D8">
        <f>'Luglio 2021'!W16</f>
        <v>0</v>
      </c>
      <c r="E8">
        <f>'Luglio 2021'!W17</f>
        <v>0</v>
      </c>
    </row>
    <row r="9" spans="1:5" x14ac:dyDescent="0.35">
      <c r="A9" t="s">
        <v>68</v>
      </c>
      <c r="B9">
        <f>'Agosto 2021'!W14</f>
        <v>0</v>
      </c>
      <c r="C9">
        <f>'Agosto 2021'!W15</f>
        <v>0</v>
      </c>
      <c r="D9">
        <f>'Agosto 2021'!W16</f>
        <v>0</v>
      </c>
      <c r="E9">
        <f>'Agosto 2021'!W17</f>
        <v>0</v>
      </c>
    </row>
    <row r="10" spans="1:5" x14ac:dyDescent="0.35">
      <c r="A10" t="s">
        <v>69</v>
      </c>
      <c r="B10">
        <f>'Settembre 2021'!W14</f>
        <v>0</v>
      </c>
      <c r="C10">
        <f>'Settembre 2021'!W15</f>
        <v>0</v>
      </c>
      <c r="D10">
        <f>'Settembre 2021'!W16</f>
        <v>0</v>
      </c>
      <c r="E10">
        <f>'Settembre 2021'!W17</f>
        <v>0</v>
      </c>
    </row>
    <row r="11" spans="1:5" x14ac:dyDescent="0.35">
      <c r="A11" t="s">
        <v>70</v>
      </c>
      <c r="B11">
        <f>'Ottobre 2021'!W14</f>
        <v>0</v>
      </c>
      <c r="C11">
        <f>'Ottobre 2021'!W15</f>
        <v>0</v>
      </c>
      <c r="D11">
        <f>'Ottobre 2021'!W16</f>
        <v>0</v>
      </c>
      <c r="E11">
        <f>'Ottobre 2021'!W17</f>
        <v>0</v>
      </c>
    </row>
    <row r="12" spans="1:5" x14ac:dyDescent="0.35">
      <c r="A12" t="s">
        <v>71</v>
      </c>
      <c r="B12">
        <f>'Novembre 2021'!W14</f>
        <v>0</v>
      </c>
      <c r="C12">
        <f>'Novembre 2021'!W15</f>
        <v>0</v>
      </c>
      <c r="D12">
        <f>'Novembre 2021'!W16</f>
        <v>0</v>
      </c>
      <c r="E12">
        <f>'Novembre 2021'!W17</f>
        <v>0</v>
      </c>
    </row>
    <row r="13" spans="1:5" x14ac:dyDescent="0.35">
      <c r="A13" t="s">
        <v>72</v>
      </c>
      <c r="B13">
        <f>'Dicembre 2021'!W14</f>
        <v>0</v>
      </c>
      <c r="C13">
        <f>'Dicembre 2021'!W15</f>
        <v>0</v>
      </c>
      <c r="D13">
        <f>'Dicembre 2021'!W16</f>
        <v>0</v>
      </c>
      <c r="E13">
        <f>'Dicembre 2021'!W17</f>
        <v>0</v>
      </c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14</vt:i4>
      </vt:variant>
    </vt:vector>
  </HeadingPairs>
  <TitlesOfParts>
    <vt:vector size="14" baseType="lpstr">
      <vt:lpstr>Gennaio 2021</vt:lpstr>
      <vt:lpstr>Febbraio 2021</vt:lpstr>
      <vt:lpstr>Marzo 2021</vt:lpstr>
      <vt:lpstr>Aprile 2021</vt:lpstr>
      <vt:lpstr>Maggio 2021</vt:lpstr>
      <vt:lpstr>Giugno 2021</vt:lpstr>
      <vt:lpstr>Luglio 2021</vt:lpstr>
      <vt:lpstr>Agosto 2021</vt:lpstr>
      <vt:lpstr>Settembre 2021</vt:lpstr>
      <vt:lpstr>Ottobre 2021</vt:lpstr>
      <vt:lpstr>Novembre 2021</vt:lpstr>
      <vt:lpstr>Dicembre 2021</vt:lpstr>
      <vt:lpstr>Risparmio totale</vt:lpstr>
      <vt:lpstr>Bollette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Angelo Caiani</dc:creator>
  <cp:keywords/>
  <dc:description/>
  <cp:lastModifiedBy>Angelo</cp:lastModifiedBy>
  <cp:revision/>
  <dcterms:created xsi:type="dcterms:W3CDTF">2016-11-04T09:18:44Z</dcterms:created>
  <dcterms:modified xsi:type="dcterms:W3CDTF">2020-12-24T13:57:41Z</dcterms:modified>
  <cp:category/>
  <cp:contentStatus/>
</cp:coreProperties>
</file>